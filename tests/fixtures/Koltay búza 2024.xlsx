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89085A74-3B7D-425C-941B-91A58A6E577D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kombájn" sheetId="1" r:id="rId1"/>
    <sheet name="feldolgozá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40" i="2" l="1"/>
  <c r="P140" i="2" s="1"/>
  <c r="V140" i="2"/>
  <c r="O140" i="2" s="1"/>
  <c r="U140" i="2"/>
  <c r="N140" i="2" s="1"/>
  <c r="T140" i="2"/>
  <c r="M140" i="2" s="1"/>
  <c r="Q140" i="2"/>
  <c r="W139" i="2"/>
  <c r="P139" i="2" s="1"/>
  <c r="V139" i="2"/>
  <c r="O139" i="2" s="1"/>
  <c r="U139" i="2"/>
  <c r="N139" i="2" s="1"/>
  <c r="T139" i="2"/>
  <c r="M139" i="2" s="1"/>
  <c r="W138" i="2"/>
  <c r="P138" i="2" s="1"/>
  <c r="V138" i="2"/>
  <c r="O138" i="2" s="1"/>
  <c r="U138" i="2"/>
  <c r="N138" i="2" s="1"/>
  <c r="T138" i="2"/>
  <c r="W137" i="2"/>
  <c r="P137" i="2" s="1"/>
  <c r="V137" i="2"/>
  <c r="O137" i="2" s="1"/>
  <c r="U137" i="2"/>
  <c r="N137" i="2" s="1"/>
  <c r="T137" i="2"/>
  <c r="W136" i="2"/>
  <c r="P136" i="2" s="1"/>
  <c r="V136" i="2"/>
  <c r="O136" i="2" s="1"/>
  <c r="U136" i="2"/>
  <c r="N136" i="2" s="1"/>
  <c r="T136" i="2"/>
  <c r="M136" i="2" s="1"/>
  <c r="W135" i="2"/>
  <c r="P135" i="2" s="1"/>
  <c r="V135" i="2"/>
  <c r="O135" i="2" s="1"/>
  <c r="U135" i="2"/>
  <c r="N135" i="2" s="1"/>
  <c r="T135" i="2"/>
  <c r="M135" i="2" s="1"/>
  <c r="W134" i="2"/>
  <c r="P134" i="2" s="1"/>
  <c r="V134" i="2"/>
  <c r="O134" i="2" s="1"/>
  <c r="U134" i="2"/>
  <c r="N134" i="2" s="1"/>
  <c r="T134" i="2"/>
  <c r="M134" i="2" s="1"/>
  <c r="W133" i="2"/>
  <c r="P133" i="2" s="1"/>
  <c r="V133" i="2"/>
  <c r="O133" i="2" s="1"/>
  <c r="U133" i="2"/>
  <c r="N133" i="2" s="1"/>
  <c r="T133" i="2"/>
  <c r="W132" i="2"/>
  <c r="P132" i="2" s="1"/>
  <c r="V132" i="2"/>
  <c r="O132" i="2" s="1"/>
  <c r="U132" i="2"/>
  <c r="N132" i="2" s="1"/>
  <c r="T132" i="2"/>
  <c r="M132" i="2" s="1"/>
  <c r="Q132" i="2" s="1"/>
  <c r="W131" i="2"/>
  <c r="P131" i="2" s="1"/>
  <c r="Q131" i="2" s="1"/>
  <c r="V131" i="2"/>
  <c r="O131" i="2" s="1"/>
  <c r="U131" i="2"/>
  <c r="N131" i="2" s="1"/>
  <c r="T131" i="2"/>
  <c r="M131" i="2" s="1"/>
  <c r="W130" i="2"/>
  <c r="P130" i="2" s="1"/>
  <c r="V130" i="2"/>
  <c r="O130" i="2" s="1"/>
  <c r="U130" i="2"/>
  <c r="N130" i="2" s="1"/>
  <c r="T130" i="2"/>
  <c r="W129" i="2"/>
  <c r="P129" i="2" s="1"/>
  <c r="V129" i="2"/>
  <c r="O129" i="2" s="1"/>
  <c r="U129" i="2"/>
  <c r="N129" i="2" s="1"/>
  <c r="T129" i="2"/>
  <c r="M129" i="2" s="1"/>
  <c r="W128" i="2"/>
  <c r="P128" i="2" s="1"/>
  <c r="V128" i="2"/>
  <c r="O128" i="2" s="1"/>
  <c r="U128" i="2"/>
  <c r="N128" i="2" s="1"/>
  <c r="T128" i="2"/>
  <c r="W127" i="2"/>
  <c r="P127" i="2" s="1"/>
  <c r="V127" i="2"/>
  <c r="O127" i="2" s="1"/>
  <c r="U127" i="2"/>
  <c r="N127" i="2" s="1"/>
  <c r="T127" i="2"/>
  <c r="M127" i="2" s="1"/>
  <c r="W126" i="2"/>
  <c r="P126" i="2" s="1"/>
  <c r="V126" i="2"/>
  <c r="O126" i="2" s="1"/>
  <c r="U126" i="2"/>
  <c r="N126" i="2" s="1"/>
  <c r="T126" i="2"/>
  <c r="M126" i="2" s="1"/>
  <c r="W123" i="2"/>
  <c r="P123" i="2" s="1"/>
  <c r="V123" i="2"/>
  <c r="O123" i="2" s="1"/>
  <c r="U123" i="2"/>
  <c r="N123" i="2" s="1"/>
  <c r="Q123" i="2" s="1"/>
  <c r="T123" i="2"/>
  <c r="M123" i="2" s="1"/>
  <c r="W122" i="2"/>
  <c r="P122" i="2" s="1"/>
  <c r="V122" i="2"/>
  <c r="O122" i="2" s="1"/>
  <c r="U122" i="2"/>
  <c r="N122" i="2" s="1"/>
  <c r="T122" i="2"/>
  <c r="W121" i="2"/>
  <c r="P121" i="2" s="1"/>
  <c r="V121" i="2"/>
  <c r="O121" i="2" s="1"/>
  <c r="U121" i="2"/>
  <c r="N121" i="2" s="1"/>
  <c r="Q121" i="2" s="1"/>
  <c r="T121" i="2"/>
  <c r="M121" i="2" s="1"/>
  <c r="W120" i="2"/>
  <c r="P120" i="2" s="1"/>
  <c r="V120" i="2"/>
  <c r="O120" i="2" s="1"/>
  <c r="U120" i="2"/>
  <c r="N120" i="2" s="1"/>
  <c r="T120" i="2"/>
  <c r="M120" i="2" s="1"/>
  <c r="W119" i="2"/>
  <c r="P119" i="2" s="1"/>
  <c r="V119" i="2"/>
  <c r="O119" i="2" s="1"/>
  <c r="U119" i="2"/>
  <c r="N119" i="2" s="1"/>
  <c r="T119" i="2"/>
  <c r="M119" i="2" s="1"/>
  <c r="W118" i="2"/>
  <c r="P118" i="2" s="1"/>
  <c r="V118" i="2"/>
  <c r="O118" i="2" s="1"/>
  <c r="U118" i="2"/>
  <c r="N118" i="2" s="1"/>
  <c r="T118" i="2"/>
  <c r="M118" i="2" s="1"/>
  <c r="W117" i="2"/>
  <c r="P117" i="2" s="1"/>
  <c r="V117" i="2"/>
  <c r="O117" i="2" s="1"/>
  <c r="U117" i="2"/>
  <c r="N117" i="2" s="1"/>
  <c r="T117" i="2"/>
  <c r="M117" i="2" s="1"/>
  <c r="Q117" i="2"/>
  <c r="W116" i="2"/>
  <c r="P116" i="2" s="1"/>
  <c r="V116" i="2"/>
  <c r="O116" i="2" s="1"/>
  <c r="U116" i="2"/>
  <c r="N116" i="2" s="1"/>
  <c r="T116" i="2"/>
  <c r="M116" i="2" s="1"/>
  <c r="W115" i="2"/>
  <c r="P115" i="2" s="1"/>
  <c r="V115" i="2"/>
  <c r="O115" i="2" s="1"/>
  <c r="U115" i="2"/>
  <c r="N115" i="2" s="1"/>
  <c r="T115" i="2"/>
  <c r="M115" i="2" s="1"/>
  <c r="Q115" i="2"/>
  <c r="W114" i="2"/>
  <c r="P114" i="2" s="1"/>
  <c r="V114" i="2"/>
  <c r="O114" i="2" s="1"/>
  <c r="Q114" i="2" s="1"/>
  <c r="U114" i="2"/>
  <c r="N114" i="2" s="1"/>
  <c r="T114" i="2"/>
  <c r="M114" i="2" s="1"/>
  <c r="W113" i="2"/>
  <c r="P113" i="2" s="1"/>
  <c r="V113" i="2"/>
  <c r="O113" i="2" s="1"/>
  <c r="U113" i="2"/>
  <c r="N113" i="2" s="1"/>
  <c r="T113" i="2"/>
  <c r="M113" i="2" s="1"/>
  <c r="W112" i="2"/>
  <c r="P112" i="2" s="1"/>
  <c r="V112" i="2"/>
  <c r="O112" i="2" s="1"/>
  <c r="U112" i="2"/>
  <c r="N112" i="2" s="1"/>
  <c r="T112" i="2"/>
  <c r="W111" i="2"/>
  <c r="P111" i="2" s="1"/>
  <c r="V111" i="2"/>
  <c r="O111" i="2" s="1"/>
  <c r="U111" i="2"/>
  <c r="N111" i="2" s="1"/>
  <c r="T111" i="2"/>
  <c r="M111" i="2" s="1"/>
  <c r="W110" i="2"/>
  <c r="P110" i="2" s="1"/>
  <c r="V110" i="2"/>
  <c r="O110" i="2" s="1"/>
  <c r="U110" i="2"/>
  <c r="N110" i="2" s="1"/>
  <c r="T110" i="2"/>
  <c r="M110" i="2" s="1"/>
  <c r="W109" i="2"/>
  <c r="P109" i="2" s="1"/>
  <c r="V109" i="2"/>
  <c r="O109" i="2" s="1"/>
  <c r="U109" i="2"/>
  <c r="N109" i="2" s="1"/>
  <c r="T109" i="2"/>
  <c r="M109" i="2" s="1"/>
  <c r="W106" i="2"/>
  <c r="P106" i="2" s="1"/>
  <c r="V106" i="2"/>
  <c r="O106" i="2" s="1"/>
  <c r="U106" i="2"/>
  <c r="N106" i="2" s="1"/>
  <c r="T106" i="2"/>
  <c r="W105" i="2"/>
  <c r="P105" i="2" s="1"/>
  <c r="V105" i="2"/>
  <c r="O105" i="2" s="1"/>
  <c r="U105" i="2"/>
  <c r="N105" i="2" s="1"/>
  <c r="T105" i="2"/>
  <c r="W104" i="2"/>
  <c r="P104" i="2" s="1"/>
  <c r="V104" i="2"/>
  <c r="O104" i="2" s="1"/>
  <c r="U104" i="2"/>
  <c r="N104" i="2" s="1"/>
  <c r="T104" i="2"/>
  <c r="M104" i="2" s="1"/>
  <c r="Q104" i="2"/>
  <c r="W103" i="2"/>
  <c r="P103" i="2" s="1"/>
  <c r="V103" i="2"/>
  <c r="O103" i="2" s="1"/>
  <c r="U103" i="2"/>
  <c r="N103" i="2" s="1"/>
  <c r="T103" i="2"/>
  <c r="W102" i="2"/>
  <c r="P102" i="2" s="1"/>
  <c r="V102" i="2"/>
  <c r="O102" i="2" s="1"/>
  <c r="U102" i="2"/>
  <c r="N102" i="2" s="1"/>
  <c r="T102" i="2"/>
  <c r="M102" i="2" s="1"/>
  <c r="W101" i="2"/>
  <c r="P101" i="2" s="1"/>
  <c r="V101" i="2"/>
  <c r="O101" i="2" s="1"/>
  <c r="U101" i="2"/>
  <c r="N101" i="2" s="1"/>
  <c r="T101" i="2"/>
  <c r="W100" i="2"/>
  <c r="P100" i="2" s="1"/>
  <c r="V100" i="2"/>
  <c r="O100" i="2" s="1"/>
  <c r="U100" i="2"/>
  <c r="N100" i="2" s="1"/>
  <c r="T100" i="2"/>
  <c r="W99" i="2"/>
  <c r="P99" i="2" s="1"/>
  <c r="V99" i="2"/>
  <c r="O99" i="2" s="1"/>
  <c r="U99" i="2"/>
  <c r="N99" i="2" s="1"/>
  <c r="T99" i="2"/>
  <c r="M99" i="2" s="1"/>
  <c r="Q99" i="2"/>
  <c r="W98" i="2"/>
  <c r="P98" i="2" s="1"/>
  <c r="V98" i="2"/>
  <c r="O98" i="2" s="1"/>
  <c r="U98" i="2"/>
  <c r="N98" i="2" s="1"/>
  <c r="T98" i="2"/>
  <c r="M98" i="2" s="1"/>
  <c r="W97" i="2"/>
  <c r="P97" i="2" s="1"/>
  <c r="V97" i="2"/>
  <c r="O97" i="2" s="1"/>
  <c r="U97" i="2"/>
  <c r="N97" i="2" s="1"/>
  <c r="T97" i="2"/>
  <c r="M97" i="2" s="1"/>
  <c r="W96" i="2"/>
  <c r="P96" i="2" s="1"/>
  <c r="V96" i="2"/>
  <c r="O96" i="2" s="1"/>
  <c r="U96" i="2"/>
  <c r="N96" i="2" s="1"/>
  <c r="T96" i="2"/>
  <c r="M96" i="2" s="1"/>
  <c r="W95" i="2"/>
  <c r="P95" i="2" s="1"/>
  <c r="V95" i="2"/>
  <c r="O95" i="2" s="1"/>
  <c r="U95" i="2"/>
  <c r="N95" i="2" s="1"/>
  <c r="T95" i="2"/>
  <c r="M95" i="2" s="1"/>
  <c r="W94" i="2"/>
  <c r="P94" i="2" s="1"/>
  <c r="V94" i="2"/>
  <c r="O94" i="2" s="1"/>
  <c r="U94" i="2"/>
  <c r="N94" i="2" s="1"/>
  <c r="T94" i="2"/>
  <c r="M94" i="2" s="1"/>
  <c r="W93" i="2"/>
  <c r="P93" i="2" s="1"/>
  <c r="V93" i="2"/>
  <c r="O93" i="2" s="1"/>
  <c r="U93" i="2"/>
  <c r="N93" i="2" s="1"/>
  <c r="T93" i="2"/>
  <c r="M93" i="2" s="1"/>
  <c r="W92" i="2"/>
  <c r="P92" i="2" s="1"/>
  <c r="V92" i="2"/>
  <c r="O92" i="2" s="1"/>
  <c r="U92" i="2"/>
  <c r="N92" i="2" s="1"/>
  <c r="T92" i="2"/>
  <c r="W89" i="2"/>
  <c r="P89" i="2" s="1"/>
  <c r="V89" i="2"/>
  <c r="O89" i="2" s="1"/>
  <c r="U89" i="2"/>
  <c r="N89" i="2" s="1"/>
  <c r="Q89" i="2" s="1"/>
  <c r="T89" i="2"/>
  <c r="M89" i="2" s="1"/>
  <c r="W88" i="2"/>
  <c r="P88" i="2" s="1"/>
  <c r="V88" i="2"/>
  <c r="O88" i="2" s="1"/>
  <c r="U88" i="2"/>
  <c r="N88" i="2" s="1"/>
  <c r="T88" i="2"/>
  <c r="M88" i="2" s="1"/>
  <c r="W87" i="2"/>
  <c r="P87" i="2" s="1"/>
  <c r="V87" i="2"/>
  <c r="O87" i="2" s="1"/>
  <c r="U87" i="2"/>
  <c r="N87" i="2" s="1"/>
  <c r="T87" i="2"/>
  <c r="M87" i="2" s="1"/>
  <c r="Q87" i="2"/>
  <c r="W86" i="2"/>
  <c r="P86" i="2" s="1"/>
  <c r="V86" i="2"/>
  <c r="O86" i="2" s="1"/>
  <c r="U86" i="2"/>
  <c r="N86" i="2" s="1"/>
  <c r="T86" i="2"/>
  <c r="M86" i="2" s="1"/>
  <c r="W85" i="2"/>
  <c r="P85" i="2" s="1"/>
  <c r="V85" i="2"/>
  <c r="O85" i="2" s="1"/>
  <c r="U85" i="2"/>
  <c r="N85" i="2" s="1"/>
  <c r="T85" i="2"/>
  <c r="M85" i="2" s="1"/>
  <c r="W84" i="2"/>
  <c r="P84" i="2" s="1"/>
  <c r="V84" i="2"/>
  <c r="O84" i="2" s="1"/>
  <c r="U84" i="2"/>
  <c r="N84" i="2" s="1"/>
  <c r="T84" i="2"/>
  <c r="M84" i="2" s="1"/>
  <c r="W83" i="2"/>
  <c r="P83" i="2" s="1"/>
  <c r="V83" i="2"/>
  <c r="O83" i="2" s="1"/>
  <c r="U83" i="2"/>
  <c r="N83" i="2" s="1"/>
  <c r="T83" i="2"/>
  <c r="M83" i="2" s="1"/>
  <c r="W82" i="2"/>
  <c r="P82" i="2" s="1"/>
  <c r="V82" i="2"/>
  <c r="O82" i="2" s="1"/>
  <c r="U82" i="2"/>
  <c r="N82" i="2" s="1"/>
  <c r="T82" i="2"/>
  <c r="M82" i="2" s="1"/>
  <c r="W81" i="2"/>
  <c r="P81" i="2" s="1"/>
  <c r="V81" i="2"/>
  <c r="O81" i="2" s="1"/>
  <c r="U81" i="2"/>
  <c r="N81" i="2" s="1"/>
  <c r="T81" i="2"/>
  <c r="M81" i="2" s="1"/>
  <c r="W80" i="2"/>
  <c r="P80" i="2" s="1"/>
  <c r="V80" i="2"/>
  <c r="O80" i="2" s="1"/>
  <c r="U80" i="2"/>
  <c r="N80" i="2" s="1"/>
  <c r="T80" i="2"/>
  <c r="M80" i="2" s="1"/>
  <c r="W79" i="2"/>
  <c r="P79" i="2" s="1"/>
  <c r="V79" i="2"/>
  <c r="O79" i="2" s="1"/>
  <c r="U79" i="2"/>
  <c r="N79" i="2" s="1"/>
  <c r="T79" i="2"/>
  <c r="W78" i="2"/>
  <c r="P78" i="2" s="1"/>
  <c r="Q78" i="2" s="1"/>
  <c r="V78" i="2"/>
  <c r="O78" i="2" s="1"/>
  <c r="U78" i="2"/>
  <c r="N78" i="2" s="1"/>
  <c r="T78" i="2"/>
  <c r="M78" i="2" s="1"/>
  <c r="W77" i="2"/>
  <c r="P77" i="2" s="1"/>
  <c r="V77" i="2"/>
  <c r="O77" i="2" s="1"/>
  <c r="U77" i="2"/>
  <c r="N77" i="2" s="1"/>
  <c r="T77" i="2"/>
  <c r="M77" i="2" s="1"/>
  <c r="Q77" i="2" s="1"/>
  <c r="W76" i="2"/>
  <c r="P76" i="2" s="1"/>
  <c r="V76" i="2"/>
  <c r="O76" i="2" s="1"/>
  <c r="U76" i="2"/>
  <c r="N76" i="2" s="1"/>
  <c r="T76" i="2"/>
  <c r="M76" i="2" s="1"/>
  <c r="W75" i="2"/>
  <c r="P75" i="2" s="1"/>
  <c r="V75" i="2"/>
  <c r="O75" i="2" s="1"/>
  <c r="U75" i="2"/>
  <c r="N75" i="2" s="1"/>
  <c r="T75" i="2"/>
  <c r="M75" i="2" s="1"/>
  <c r="W72" i="2"/>
  <c r="P72" i="2" s="1"/>
  <c r="V72" i="2"/>
  <c r="O72" i="2" s="1"/>
  <c r="U72" i="2"/>
  <c r="N72" i="2" s="1"/>
  <c r="T72" i="2"/>
  <c r="W71" i="2"/>
  <c r="P71" i="2" s="1"/>
  <c r="Q71" i="2" s="1"/>
  <c r="V71" i="2"/>
  <c r="O71" i="2" s="1"/>
  <c r="U71" i="2"/>
  <c r="N71" i="2" s="1"/>
  <c r="T71" i="2"/>
  <c r="M71" i="2" s="1"/>
  <c r="W70" i="2"/>
  <c r="P70" i="2" s="1"/>
  <c r="V70" i="2"/>
  <c r="O70" i="2" s="1"/>
  <c r="U70" i="2"/>
  <c r="N70" i="2" s="1"/>
  <c r="T70" i="2"/>
  <c r="M70" i="2" s="1"/>
  <c r="W69" i="2"/>
  <c r="P69" i="2" s="1"/>
  <c r="V69" i="2"/>
  <c r="O69" i="2" s="1"/>
  <c r="U69" i="2"/>
  <c r="N69" i="2" s="1"/>
  <c r="T69" i="2"/>
  <c r="M69" i="2" s="1"/>
  <c r="W68" i="2"/>
  <c r="P68" i="2" s="1"/>
  <c r="V68" i="2"/>
  <c r="O68" i="2" s="1"/>
  <c r="U68" i="2"/>
  <c r="N68" i="2" s="1"/>
  <c r="T68" i="2"/>
  <c r="W67" i="2"/>
  <c r="P67" i="2" s="1"/>
  <c r="V67" i="2"/>
  <c r="O67" i="2" s="1"/>
  <c r="U67" i="2"/>
  <c r="N67" i="2" s="1"/>
  <c r="T67" i="2"/>
  <c r="M67" i="2" s="1"/>
  <c r="W66" i="2"/>
  <c r="P66" i="2" s="1"/>
  <c r="V66" i="2"/>
  <c r="O66" i="2" s="1"/>
  <c r="U66" i="2"/>
  <c r="N66" i="2" s="1"/>
  <c r="T66" i="2"/>
  <c r="M66" i="2" s="1"/>
  <c r="W65" i="2"/>
  <c r="P65" i="2" s="1"/>
  <c r="V65" i="2"/>
  <c r="O65" i="2" s="1"/>
  <c r="U65" i="2"/>
  <c r="N65" i="2" s="1"/>
  <c r="Q65" i="2" s="1"/>
  <c r="T65" i="2"/>
  <c r="M65" i="2" s="1"/>
  <c r="W64" i="2"/>
  <c r="P64" i="2" s="1"/>
  <c r="V64" i="2"/>
  <c r="O64" i="2" s="1"/>
  <c r="U64" i="2"/>
  <c r="N64" i="2" s="1"/>
  <c r="T64" i="2"/>
  <c r="M64" i="2" s="1"/>
  <c r="W63" i="2"/>
  <c r="P63" i="2" s="1"/>
  <c r="V63" i="2"/>
  <c r="O63" i="2" s="1"/>
  <c r="U63" i="2"/>
  <c r="N63" i="2" s="1"/>
  <c r="Q63" i="2" s="1"/>
  <c r="T63" i="2"/>
  <c r="M63" i="2" s="1"/>
  <c r="W62" i="2"/>
  <c r="P62" i="2" s="1"/>
  <c r="V62" i="2"/>
  <c r="O62" i="2" s="1"/>
  <c r="U62" i="2"/>
  <c r="N62" i="2" s="1"/>
  <c r="T62" i="2"/>
  <c r="M62" i="2" s="1"/>
  <c r="W61" i="2"/>
  <c r="P61" i="2" s="1"/>
  <c r="V61" i="2"/>
  <c r="O61" i="2" s="1"/>
  <c r="Q61" i="2" s="1"/>
  <c r="U61" i="2"/>
  <c r="N61" i="2" s="1"/>
  <c r="T61" i="2"/>
  <c r="M61" i="2" s="1"/>
  <c r="W60" i="2"/>
  <c r="P60" i="2" s="1"/>
  <c r="V60" i="2"/>
  <c r="O60" i="2" s="1"/>
  <c r="U60" i="2"/>
  <c r="N60" i="2" s="1"/>
  <c r="T60" i="2"/>
  <c r="M60" i="2" s="1"/>
  <c r="W59" i="2"/>
  <c r="P59" i="2" s="1"/>
  <c r="V59" i="2"/>
  <c r="O59" i="2" s="1"/>
  <c r="U59" i="2"/>
  <c r="N59" i="2" s="1"/>
  <c r="T59" i="2"/>
  <c r="M59" i="2" s="1"/>
  <c r="W58" i="2"/>
  <c r="P58" i="2" s="1"/>
  <c r="V58" i="2"/>
  <c r="O58" i="2" s="1"/>
  <c r="U58" i="2"/>
  <c r="N58" i="2" s="1"/>
  <c r="T58" i="2"/>
  <c r="M58" i="2" s="1"/>
  <c r="W55" i="2"/>
  <c r="P55" i="2" s="1"/>
  <c r="V55" i="2"/>
  <c r="O55" i="2" s="1"/>
  <c r="U55" i="2"/>
  <c r="N55" i="2" s="1"/>
  <c r="T55" i="2"/>
  <c r="W54" i="2"/>
  <c r="P54" i="2" s="1"/>
  <c r="V54" i="2"/>
  <c r="O54" i="2" s="1"/>
  <c r="U54" i="2"/>
  <c r="N54" i="2" s="1"/>
  <c r="T54" i="2"/>
  <c r="M54" i="2" s="1"/>
  <c r="W53" i="2"/>
  <c r="P53" i="2" s="1"/>
  <c r="V53" i="2"/>
  <c r="O53" i="2" s="1"/>
  <c r="U53" i="2"/>
  <c r="N53" i="2" s="1"/>
  <c r="T53" i="2"/>
  <c r="M53" i="2" s="1"/>
  <c r="W52" i="2"/>
  <c r="P52" i="2" s="1"/>
  <c r="V52" i="2"/>
  <c r="O52" i="2" s="1"/>
  <c r="U52" i="2"/>
  <c r="N52" i="2" s="1"/>
  <c r="T52" i="2"/>
  <c r="M52" i="2" s="1"/>
  <c r="W51" i="2"/>
  <c r="P51" i="2" s="1"/>
  <c r="V51" i="2"/>
  <c r="O51" i="2" s="1"/>
  <c r="U51" i="2"/>
  <c r="N51" i="2" s="1"/>
  <c r="T51" i="2"/>
  <c r="M51" i="2" s="1"/>
  <c r="W50" i="2"/>
  <c r="P50" i="2" s="1"/>
  <c r="V50" i="2"/>
  <c r="O50" i="2" s="1"/>
  <c r="U50" i="2"/>
  <c r="N50" i="2" s="1"/>
  <c r="T50" i="2"/>
  <c r="M50" i="2" s="1"/>
  <c r="Q50" i="2"/>
  <c r="W49" i="2"/>
  <c r="P49" i="2" s="1"/>
  <c r="V49" i="2"/>
  <c r="O49" i="2" s="1"/>
  <c r="U49" i="2"/>
  <c r="N49" i="2" s="1"/>
  <c r="T49" i="2"/>
  <c r="M49" i="2" s="1"/>
  <c r="Q49" i="2" s="1"/>
  <c r="W48" i="2"/>
  <c r="P48" i="2" s="1"/>
  <c r="V48" i="2"/>
  <c r="O48" i="2" s="1"/>
  <c r="U48" i="2"/>
  <c r="N48" i="2" s="1"/>
  <c r="T48" i="2"/>
  <c r="M48" i="2" s="1"/>
  <c r="W47" i="2"/>
  <c r="P47" i="2" s="1"/>
  <c r="V47" i="2"/>
  <c r="O47" i="2" s="1"/>
  <c r="U47" i="2"/>
  <c r="N47" i="2" s="1"/>
  <c r="T47" i="2"/>
  <c r="W46" i="2"/>
  <c r="P46" i="2" s="1"/>
  <c r="V46" i="2"/>
  <c r="O46" i="2" s="1"/>
  <c r="U46" i="2"/>
  <c r="N46" i="2" s="1"/>
  <c r="T46" i="2"/>
  <c r="W45" i="2"/>
  <c r="P45" i="2" s="1"/>
  <c r="V45" i="2"/>
  <c r="O45" i="2" s="1"/>
  <c r="U45" i="2"/>
  <c r="N45" i="2" s="1"/>
  <c r="T45" i="2"/>
  <c r="M45" i="2" s="1"/>
  <c r="Q45" i="2"/>
  <c r="W44" i="2"/>
  <c r="P44" i="2" s="1"/>
  <c r="V44" i="2"/>
  <c r="O44" i="2" s="1"/>
  <c r="U44" i="2"/>
  <c r="N44" i="2" s="1"/>
  <c r="T44" i="2"/>
  <c r="M44" i="2" s="1"/>
  <c r="W43" i="2"/>
  <c r="P43" i="2" s="1"/>
  <c r="V43" i="2"/>
  <c r="O43" i="2" s="1"/>
  <c r="U43" i="2"/>
  <c r="N43" i="2" s="1"/>
  <c r="T43" i="2"/>
  <c r="M43" i="2" s="1"/>
  <c r="Q43" i="2"/>
  <c r="W42" i="2"/>
  <c r="P42" i="2" s="1"/>
  <c r="V42" i="2"/>
  <c r="O42" i="2" s="1"/>
  <c r="U42" i="2"/>
  <c r="N42" i="2" s="1"/>
  <c r="T42" i="2"/>
  <c r="W41" i="2"/>
  <c r="P41" i="2" s="1"/>
  <c r="V41" i="2"/>
  <c r="O41" i="2" s="1"/>
  <c r="U41" i="2"/>
  <c r="N41" i="2" s="1"/>
  <c r="T41" i="2"/>
  <c r="M41" i="2" s="1"/>
  <c r="W38" i="2"/>
  <c r="P38" i="2" s="1"/>
  <c r="V38" i="2"/>
  <c r="O38" i="2" s="1"/>
  <c r="U38" i="2"/>
  <c r="N38" i="2" s="1"/>
  <c r="T38" i="2"/>
  <c r="M38" i="2" s="1"/>
  <c r="W37" i="2"/>
  <c r="P37" i="2" s="1"/>
  <c r="V37" i="2"/>
  <c r="O37" i="2" s="1"/>
  <c r="U37" i="2"/>
  <c r="N37" i="2" s="1"/>
  <c r="T37" i="2"/>
  <c r="M37" i="2" s="1"/>
  <c r="W36" i="2"/>
  <c r="P36" i="2" s="1"/>
  <c r="V36" i="2"/>
  <c r="O36" i="2" s="1"/>
  <c r="U36" i="2"/>
  <c r="N36" i="2" s="1"/>
  <c r="T36" i="2"/>
  <c r="W35" i="2"/>
  <c r="P35" i="2" s="1"/>
  <c r="V35" i="2"/>
  <c r="O35" i="2" s="1"/>
  <c r="U35" i="2"/>
  <c r="N35" i="2" s="1"/>
  <c r="T35" i="2"/>
  <c r="M35" i="2" s="1"/>
  <c r="Q35" i="2" s="1"/>
  <c r="W34" i="2"/>
  <c r="P34" i="2" s="1"/>
  <c r="V34" i="2"/>
  <c r="O34" i="2" s="1"/>
  <c r="U34" i="2"/>
  <c r="N34" i="2" s="1"/>
  <c r="T34" i="2"/>
  <c r="M34" i="2" s="1"/>
  <c r="W33" i="2"/>
  <c r="P33" i="2" s="1"/>
  <c r="V33" i="2"/>
  <c r="O33" i="2" s="1"/>
  <c r="Q33" i="2" s="1"/>
  <c r="U33" i="2"/>
  <c r="N33" i="2" s="1"/>
  <c r="T33" i="2"/>
  <c r="M33" i="2" s="1"/>
  <c r="W32" i="2"/>
  <c r="P32" i="2" s="1"/>
  <c r="V32" i="2"/>
  <c r="O32" i="2" s="1"/>
  <c r="U32" i="2"/>
  <c r="N32" i="2" s="1"/>
  <c r="T32" i="2"/>
  <c r="M32" i="2" s="1"/>
  <c r="W31" i="2"/>
  <c r="P31" i="2" s="1"/>
  <c r="V31" i="2"/>
  <c r="O31" i="2" s="1"/>
  <c r="U31" i="2"/>
  <c r="N31" i="2" s="1"/>
  <c r="T31" i="2"/>
  <c r="M31" i="2" s="1"/>
  <c r="W30" i="2"/>
  <c r="P30" i="2" s="1"/>
  <c r="V30" i="2"/>
  <c r="O30" i="2" s="1"/>
  <c r="U30" i="2"/>
  <c r="N30" i="2" s="1"/>
  <c r="T30" i="2"/>
  <c r="M30" i="2" s="1"/>
  <c r="W29" i="2"/>
  <c r="P29" i="2" s="1"/>
  <c r="V29" i="2"/>
  <c r="O29" i="2" s="1"/>
  <c r="U29" i="2"/>
  <c r="N29" i="2" s="1"/>
  <c r="T29" i="2"/>
  <c r="W28" i="2"/>
  <c r="P28" i="2" s="1"/>
  <c r="V28" i="2"/>
  <c r="O28" i="2" s="1"/>
  <c r="U28" i="2"/>
  <c r="N28" i="2" s="1"/>
  <c r="T28" i="2"/>
  <c r="M28" i="2" s="1"/>
  <c r="W27" i="2"/>
  <c r="P27" i="2" s="1"/>
  <c r="V27" i="2"/>
  <c r="O27" i="2" s="1"/>
  <c r="U27" i="2"/>
  <c r="N27" i="2" s="1"/>
  <c r="T27" i="2"/>
  <c r="M27" i="2" s="1"/>
  <c r="W26" i="2"/>
  <c r="P26" i="2" s="1"/>
  <c r="V26" i="2"/>
  <c r="O26" i="2" s="1"/>
  <c r="U26" i="2"/>
  <c r="N26" i="2" s="1"/>
  <c r="T26" i="2"/>
  <c r="M26" i="2" s="1"/>
  <c r="W25" i="2"/>
  <c r="P25" i="2" s="1"/>
  <c r="V25" i="2"/>
  <c r="O25" i="2" s="1"/>
  <c r="U25" i="2"/>
  <c r="N25" i="2" s="1"/>
  <c r="T25" i="2"/>
  <c r="W24" i="2"/>
  <c r="P24" i="2" s="1"/>
  <c r="V24" i="2"/>
  <c r="O24" i="2" s="1"/>
  <c r="U24" i="2"/>
  <c r="N24" i="2" s="1"/>
  <c r="T24" i="2"/>
  <c r="M24" i="2" s="1"/>
  <c r="Q24" i="2"/>
  <c r="W21" i="2"/>
  <c r="P21" i="2" s="1"/>
  <c r="V21" i="2"/>
  <c r="O21" i="2" s="1"/>
  <c r="U21" i="2"/>
  <c r="N21" i="2" s="1"/>
  <c r="T21" i="2"/>
  <c r="W20" i="2"/>
  <c r="P20" i="2" s="1"/>
  <c r="V20" i="2"/>
  <c r="O20" i="2" s="1"/>
  <c r="U20" i="2"/>
  <c r="N20" i="2" s="1"/>
  <c r="T20" i="2"/>
  <c r="M20" i="2" s="1"/>
  <c r="W19" i="2"/>
  <c r="P19" i="2" s="1"/>
  <c r="V19" i="2"/>
  <c r="O19" i="2" s="1"/>
  <c r="U19" i="2"/>
  <c r="N19" i="2" s="1"/>
  <c r="T19" i="2"/>
  <c r="M19" i="2" s="1"/>
  <c r="W18" i="2"/>
  <c r="P18" i="2" s="1"/>
  <c r="V18" i="2"/>
  <c r="O18" i="2" s="1"/>
  <c r="U18" i="2"/>
  <c r="N18" i="2" s="1"/>
  <c r="T18" i="2"/>
  <c r="W17" i="2"/>
  <c r="P17" i="2" s="1"/>
  <c r="V17" i="2"/>
  <c r="O17" i="2" s="1"/>
  <c r="U17" i="2"/>
  <c r="N17" i="2" s="1"/>
  <c r="T17" i="2"/>
  <c r="M17" i="2" s="1"/>
  <c r="Q17" i="2" s="1"/>
  <c r="W16" i="2"/>
  <c r="P16" i="2" s="1"/>
  <c r="V16" i="2"/>
  <c r="O16" i="2" s="1"/>
  <c r="U16" i="2"/>
  <c r="N16" i="2" s="1"/>
  <c r="T16" i="2"/>
  <c r="M16" i="2" s="1"/>
  <c r="W15" i="2"/>
  <c r="P15" i="2" s="1"/>
  <c r="V15" i="2"/>
  <c r="O15" i="2" s="1"/>
  <c r="U15" i="2"/>
  <c r="N15" i="2" s="1"/>
  <c r="T15" i="2"/>
  <c r="M15" i="2" s="1"/>
  <c r="W14" i="2"/>
  <c r="P14" i="2" s="1"/>
  <c r="V14" i="2"/>
  <c r="O14" i="2" s="1"/>
  <c r="U14" i="2"/>
  <c r="N14" i="2" s="1"/>
  <c r="T14" i="2"/>
  <c r="W13" i="2"/>
  <c r="P13" i="2" s="1"/>
  <c r="V13" i="2"/>
  <c r="O13" i="2" s="1"/>
  <c r="U13" i="2"/>
  <c r="N13" i="2" s="1"/>
  <c r="T13" i="2"/>
  <c r="W12" i="2"/>
  <c r="P12" i="2" s="1"/>
  <c r="V12" i="2"/>
  <c r="O12" i="2" s="1"/>
  <c r="U12" i="2"/>
  <c r="N12" i="2" s="1"/>
  <c r="T12" i="2"/>
  <c r="M12" i="2" s="1"/>
  <c r="W11" i="2"/>
  <c r="P11" i="2" s="1"/>
  <c r="V11" i="2"/>
  <c r="O11" i="2" s="1"/>
  <c r="U11" i="2"/>
  <c r="N11" i="2" s="1"/>
  <c r="T11" i="2"/>
  <c r="M11" i="2" s="1"/>
  <c r="Q11" i="2"/>
  <c r="W10" i="2"/>
  <c r="P10" i="2" s="1"/>
  <c r="V10" i="2"/>
  <c r="O10" i="2" s="1"/>
  <c r="U10" i="2"/>
  <c r="N10" i="2" s="1"/>
  <c r="T10" i="2"/>
  <c r="W9" i="2"/>
  <c r="P9" i="2" s="1"/>
  <c r="V9" i="2"/>
  <c r="O9" i="2" s="1"/>
  <c r="U9" i="2"/>
  <c r="N9" i="2" s="1"/>
  <c r="T9" i="2"/>
  <c r="M9" i="2" s="1"/>
  <c r="Q9" i="2" s="1"/>
  <c r="W8" i="2"/>
  <c r="P8" i="2" s="1"/>
  <c r="V8" i="2"/>
  <c r="O8" i="2" s="1"/>
  <c r="U8" i="2"/>
  <c r="N8" i="2" s="1"/>
  <c r="T8" i="2"/>
  <c r="M8" i="2" s="1"/>
  <c r="W7" i="2"/>
  <c r="P7" i="2" s="1"/>
  <c r="V7" i="2"/>
  <c r="O7" i="2" s="1"/>
  <c r="Q7" i="2" s="1"/>
  <c r="U7" i="2"/>
  <c r="N7" i="2" s="1"/>
  <c r="T7" i="2"/>
  <c r="M7" i="2" s="1"/>
  <c r="M25" i="2" l="1"/>
  <c r="Q25" i="2" s="1"/>
  <c r="M18" i="2"/>
  <c r="Q18" i="2" s="1"/>
  <c r="M101" i="2"/>
  <c r="Q101" i="2" s="1"/>
  <c r="M13" i="2"/>
  <c r="Q13" i="2" s="1"/>
  <c r="M36" i="2"/>
  <c r="Q36" i="2" s="1"/>
  <c r="M137" i="2"/>
  <c r="Q137" i="2" s="1"/>
  <c r="M14" i="2"/>
  <c r="Q14" i="2" s="1"/>
  <c r="Q72" i="2"/>
  <c r="M72" i="2"/>
  <c r="M79" i="2"/>
  <c r="Q79" i="2" s="1"/>
  <c r="M106" i="2"/>
  <c r="Q106" i="2" s="1"/>
  <c r="Q55" i="2"/>
  <c r="M55" i="2"/>
  <c r="M103" i="2"/>
  <c r="Q103" i="2" s="1"/>
  <c r="M138" i="2"/>
  <c r="Q138" i="2" s="1"/>
  <c r="M10" i="2"/>
  <c r="Q10" i="2" s="1"/>
  <c r="M68" i="2"/>
  <c r="Q68" i="2" s="1"/>
  <c r="M128" i="2"/>
  <c r="Q128" i="2" s="1"/>
  <c r="M133" i="2"/>
  <c r="Q133" i="2" s="1"/>
  <c r="M46" i="2"/>
  <c r="Q46" i="2" s="1"/>
  <c r="M29" i="2"/>
  <c r="Q29" i="2" s="1"/>
  <c r="M112" i="2"/>
  <c r="Q112" i="2" s="1"/>
  <c r="M92" i="2"/>
  <c r="Q92" i="2" s="1"/>
  <c r="Q122" i="2"/>
  <c r="M122" i="2"/>
  <c r="M42" i="2"/>
  <c r="Q42" i="2" s="1"/>
  <c r="M47" i="2"/>
  <c r="Q47" i="2" s="1"/>
  <c r="M105" i="2"/>
  <c r="Q105" i="2" s="1"/>
  <c r="M100" i="2"/>
  <c r="Q100" i="2" s="1"/>
  <c r="M130" i="2"/>
  <c r="Q130" i="2" s="1"/>
  <c r="M21" i="2"/>
  <c r="Q21" i="2" s="1"/>
  <c r="Q126" i="2"/>
  <c r="Q136" i="2"/>
  <c r="Q127" i="2"/>
  <c r="Q134" i="2"/>
  <c r="Q129" i="2"/>
  <c r="Q111" i="2"/>
  <c r="Q110" i="2"/>
  <c r="Q119" i="2"/>
  <c r="Q118" i="2"/>
  <c r="Q96" i="2"/>
  <c r="Q98" i="2"/>
  <c r="Q93" i="2"/>
  <c r="Q97" i="2"/>
  <c r="Q83" i="2"/>
  <c r="Q75" i="2"/>
  <c r="Q82" i="2"/>
  <c r="Q86" i="2"/>
  <c r="Q80" i="2"/>
  <c r="Q84" i="2"/>
  <c r="Q70" i="2"/>
  <c r="Q60" i="2"/>
  <c r="Q69" i="2"/>
  <c r="Q64" i="2"/>
  <c r="Q58" i="2"/>
  <c r="Q51" i="2"/>
  <c r="Q54" i="2"/>
  <c r="Q52" i="2"/>
  <c r="Q44" i="2"/>
  <c r="Q37" i="2"/>
  <c r="Q28" i="2"/>
  <c r="Q26" i="2"/>
  <c r="Q32" i="2"/>
  <c r="Q30" i="2"/>
  <c r="Q19" i="2"/>
  <c r="Q16" i="2"/>
  <c r="Q20" i="2"/>
  <c r="Q15" i="2"/>
  <c r="Q8" i="2"/>
  <c r="Q41" i="2"/>
  <c r="Q48" i="2"/>
  <c r="Q67" i="2"/>
  <c r="Q76" i="2"/>
  <c r="Q95" i="2"/>
  <c r="Q102" i="2"/>
  <c r="Q27" i="2"/>
  <c r="Q34" i="2"/>
  <c r="Q53" i="2"/>
  <c r="Q62" i="2"/>
  <c r="Q81" i="2"/>
  <c r="Q88" i="2"/>
  <c r="Q109" i="2"/>
  <c r="Q116" i="2"/>
  <c r="Q135" i="2"/>
  <c r="Q12" i="2"/>
  <c r="Q31" i="2"/>
  <c r="Q38" i="2"/>
  <c r="Q59" i="2"/>
  <c r="Q66" i="2"/>
  <c r="Q85" i="2"/>
  <c r="Q94" i="2"/>
  <c r="Q113" i="2"/>
  <c r="Q120" i="2"/>
  <c r="Q139" i="2"/>
  <c r="Q22" i="2" l="1"/>
  <c r="Q107" i="2"/>
  <c r="Q39" i="2"/>
  <c r="Q124" i="2"/>
  <c r="Q141" i="2"/>
  <c r="Q90" i="2"/>
  <c r="Q73" i="2"/>
  <c r="Q56" i="2"/>
</calcChain>
</file>

<file path=xl/sharedStrings.xml><?xml version="1.0" encoding="utf-8"?>
<sst xmlns="http://schemas.openxmlformats.org/spreadsheetml/2006/main" count="1676" uniqueCount="525">
  <si>
    <t>Kísérlet</t>
  </si>
  <si>
    <t>Parc.mélys. (Y)</t>
  </si>
  <si>
    <t>Parc. szél. (X)</t>
  </si>
  <si>
    <t>Súly</t>
  </si>
  <si>
    <t>Nedvesség</t>
  </si>
  <si>
    <t>Felhaszn.</t>
  </si>
  <si>
    <t>Dátum</t>
  </si>
  <si>
    <t>Idő</t>
  </si>
  <si>
    <t>Folyamatos szám</t>
  </si>
  <si>
    <t>Nedvesség nyers adatok</t>
  </si>
  <si>
    <t>Hőmérséklet</t>
  </si>
  <si>
    <t>CustomId</t>
  </si>
  <si>
    <t>Koltay búza betakarítás 2024.</t>
  </si>
  <si>
    <t>admin</t>
  </si>
  <si>
    <t>A1-I</t>
  </si>
  <si>
    <t>B1-I</t>
  </si>
  <si>
    <t>A1-II</t>
  </si>
  <si>
    <t>B1-II</t>
  </si>
  <si>
    <t>E10-III</t>
  </si>
  <si>
    <t>F10-III</t>
  </si>
  <si>
    <t>E9-IV</t>
  </si>
  <si>
    <t>F9-IV</t>
  </si>
  <si>
    <t>F14-IV</t>
  </si>
  <si>
    <t>E14-IV</t>
  </si>
  <si>
    <t>F6-III</t>
  </si>
  <si>
    <t>E6-III</t>
  </si>
  <si>
    <t>B2-II</t>
  </si>
  <si>
    <t>A2-II</t>
  </si>
  <si>
    <t>B2-I</t>
  </si>
  <si>
    <t>A2-I</t>
  </si>
  <si>
    <t>A3-I</t>
  </si>
  <si>
    <t>B3-I</t>
  </si>
  <si>
    <t>A3-II</t>
  </si>
  <si>
    <t>B3-II</t>
  </si>
  <si>
    <t>E15-III</t>
  </si>
  <si>
    <t>F15-III</t>
  </si>
  <si>
    <t>E7-IV</t>
  </si>
  <si>
    <t>F7-IV</t>
  </si>
  <si>
    <t>F10-IV</t>
  </si>
  <si>
    <t>E10-IV</t>
  </si>
  <si>
    <t>F14-III</t>
  </si>
  <si>
    <t>E14-III</t>
  </si>
  <si>
    <t>B4-II</t>
  </si>
  <si>
    <t>A4-II</t>
  </si>
  <si>
    <t>B4-I</t>
  </si>
  <si>
    <t>A4-I</t>
  </si>
  <si>
    <t>A5-I</t>
  </si>
  <si>
    <t>B5-I</t>
  </si>
  <si>
    <t>A5-II</t>
  </si>
  <si>
    <t>B5-II</t>
  </si>
  <si>
    <t>E1-III</t>
  </si>
  <si>
    <t>F1-III</t>
  </si>
  <si>
    <t>E8-IV</t>
  </si>
  <si>
    <t>F8-IV</t>
  </si>
  <si>
    <t>F12-IV</t>
  </si>
  <si>
    <t>E12-IV</t>
  </si>
  <si>
    <t>F3-III</t>
  </si>
  <si>
    <t>E3-III</t>
  </si>
  <si>
    <t>B6-II</t>
  </si>
  <si>
    <t>A6-II</t>
  </si>
  <si>
    <t>B6-I</t>
  </si>
  <si>
    <t>A6-I</t>
  </si>
  <si>
    <t>A7-I</t>
  </si>
  <si>
    <t>B7-I</t>
  </si>
  <si>
    <t>A7-II</t>
  </si>
  <si>
    <t>B7-II</t>
  </si>
  <si>
    <t>E11-III</t>
  </si>
  <si>
    <t>F11-III</t>
  </si>
  <si>
    <t>E15-IV</t>
  </si>
  <si>
    <t>F15-IV</t>
  </si>
  <si>
    <t>F2-IV</t>
  </si>
  <si>
    <t>E2-IV</t>
  </si>
  <si>
    <t>F13-III</t>
  </si>
  <si>
    <t>E13-III</t>
  </si>
  <si>
    <t>B8-II</t>
  </si>
  <si>
    <t>A8-II</t>
  </si>
  <si>
    <t>B8-I</t>
  </si>
  <si>
    <t>A8-I</t>
  </si>
  <si>
    <t>A9-I</t>
  </si>
  <si>
    <t>B9-I</t>
  </si>
  <si>
    <t>A9-II</t>
  </si>
  <si>
    <t>B9-II</t>
  </si>
  <si>
    <t>E4-III</t>
  </si>
  <si>
    <t>F4-III</t>
  </si>
  <si>
    <t>E5-IV</t>
  </si>
  <si>
    <t>F5-IV</t>
  </si>
  <si>
    <t>F13-IV</t>
  </si>
  <si>
    <t>E13-IV</t>
  </si>
  <si>
    <t>F9-III</t>
  </si>
  <si>
    <t>E9-III</t>
  </si>
  <si>
    <t>B10-II</t>
  </si>
  <si>
    <t>A10-II</t>
  </si>
  <si>
    <t>B10-I</t>
  </si>
  <si>
    <t>A10-I</t>
  </si>
  <si>
    <t>A11-I</t>
  </si>
  <si>
    <t>B11-I</t>
  </si>
  <si>
    <t>A11-II</t>
  </si>
  <si>
    <t>B11-II</t>
  </si>
  <si>
    <t>E5-III</t>
  </si>
  <si>
    <t>F5-III</t>
  </si>
  <si>
    <t>E1-IV</t>
  </si>
  <si>
    <t>F1-IV</t>
  </si>
  <si>
    <t>F3-IV</t>
  </si>
  <si>
    <t>E3-IV</t>
  </si>
  <si>
    <t>F7-III</t>
  </si>
  <si>
    <t>E7-III</t>
  </si>
  <si>
    <t>B12-II</t>
  </si>
  <si>
    <t>A12-II</t>
  </si>
  <si>
    <t>B12-I</t>
  </si>
  <si>
    <t>A12-I</t>
  </si>
  <si>
    <t>A13-I</t>
  </si>
  <si>
    <t>B13-I</t>
  </si>
  <si>
    <t>A13-II</t>
  </si>
  <si>
    <t>B13-II</t>
  </si>
  <si>
    <t>E2-III</t>
  </si>
  <si>
    <t>F2-III</t>
  </si>
  <si>
    <t>E4-IV</t>
  </si>
  <si>
    <t>F4-IV</t>
  </si>
  <si>
    <t>F11-IV</t>
  </si>
  <si>
    <t>E11-IV</t>
  </si>
  <si>
    <t>F12-III</t>
  </si>
  <si>
    <t>E12-III</t>
  </si>
  <si>
    <t>B14-II</t>
  </si>
  <si>
    <t>A14-II</t>
  </si>
  <si>
    <t>B14-I</t>
  </si>
  <si>
    <t>A14-I</t>
  </si>
  <si>
    <t>A15-I</t>
  </si>
  <si>
    <t>B15-I</t>
  </si>
  <si>
    <t>A15-II</t>
  </si>
  <si>
    <t>B15-II</t>
  </si>
  <si>
    <t>E8-III</t>
  </si>
  <si>
    <t>F8-III</t>
  </si>
  <si>
    <t>E6-IV</t>
  </si>
  <si>
    <t>F6-IV</t>
  </si>
  <si>
    <t>B4-IV</t>
  </si>
  <si>
    <t>A4-IV</t>
  </si>
  <si>
    <t>B8-III</t>
  </si>
  <si>
    <t>A8-III</t>
  </si>
  <si>
    <t>D1-II</t>
  </si>
  <si>
    <t>C1-II</t>
  </si>
  <si>
    <t>D1-I</t>
  </si>
  <si>
    <t>C1-I</t>
  </si>
  <si>
    <t>C2-I</t>
  </si>
  <si>
    <t>D2-I</t>
  </si>
  <si>
    <t>C2-II</t>
  </si>
  <si>
    <t>D2-II</t>
  </si>
  <si>
    <t>A5-III</t>
  </si>
  <si>
    <t>B5-III</t>
  </si>
  <si>
    <t>A13-IV</t>
  </si>
  <si>
    <t>B13-IV</t>
  </si>
  <si>
    <t>B11-IV</t>
  </si>
  <si>
    <t>A11-IV</t>
  </si>
  <si>
    <t>B12-III</t>
  </si>
  <si>
    <t>A12-III</t>
  </si>
  <si>
    <t>D3-II</t>
  </si>
  <si>
    <t>C3-II</t>
  </si>
  <si>
    <t>D3-I</t>
  </si>
  <si>
    <t>C3-I</t>
  </si>
  <si>
    <t>C4-I</t>
  </si>
  <si>
    <t>D4-I</t>
  </si>
  <si>
    <t>C4-II</t>
  </si>
  <si>
    <t>D4-II</t>
  </si>
  <si>
    <t>A11-III</t>
  </si>
  <si>
    <t>B11-III</t>
  </si>
  <si>
    <t>A9-IV</t>
  </si>
  <si>
    <t>B9-IV</t>
  </si>
  <si>
    <t>B15-IV</t>
  </si>
  <si>
    <t>A15-IV</t>
  </si>
  <si>
    <t>B2-III</t>
  </si>
  <si>
    <t>A2-III</t>
  </si>
  <si>
    <t>D5-II</t>
  </si>
  <si>
    <t>C5-II</t>
  </si>
  <si>
    <t>D5-I</t>
  </si>
  <si>
    <t>C5-I</t>
  </si>
  <si>
    <t>C6-I</t>
  </si>
  <si>
    <t>D6-I</t>
  </si>
  <si>
    <t>C6-II</t>
  </si>
  <si>
    <t>D6-II</t>
  </si>
  <si>
    <t>A13-III</t>
  </si>
  <si>
    <t>B13-III</t>
  </si>
  <si>
    <t>A7-IV</t>
  </si>
  <si>
    <t>B7-IV</t>
  </si>
  <si>
    <t>B1-IV</t>
  </si>
  <si>
    <t>A1-IV</t>
  </si>
  <si>
    <t>B3-III</t>
  </si>
  <si>
    <t>A3-III</t>
  </si>
  <si>
    <t>D7-II</t>
  </si>
  <si>
    <t>C7-II</t>
  </si>
  <si>
    <t>D7-I</t>
  </si>
  <si>
    <t>C7-I</t>
  </si>
  <si>
    <t>C8-I</t>
  </si>
  <si>
    <t>D8-I</t>
  </si>
  <si>
    <t>C8-II</t>
  </si>
  <si>
    <t>D8-II</t>
  </si>
  <si>
    <t>A14-III</t>
  </si>
  <si>
    <t>B14-III</t>
  </si>
  <si>
    <t>A6-IV</t>
  </si>
  <si>
    <t>B6-IV</t>
  </si>
  <si>
    <t>B12-IV</t>
  </si>
  <si>
    <t>A12-IV</t>
  </si>
  <si>
    <t>B10-III</t>
  </si>
  <si>
    <t>A10-III</t>
  </si>
  <si>
    <t>D9-II</t>
  </si>
  <si>
    <t>C9-II</t>
  </si>
  <si>
    <t>D9-I</t>
  </si>
  <si>
    <t>C9-I</t>
  </si>
  <si>
    <t>C10-I</t>
  </si>
  <si>
    <t>D10-I</t>
  </si>
  <si>
    <t>C10-II</t>
  </si>
  <si>
    <t>D10-II</t>
  </si>
  <si>
    <t>A6-III</t>
  </si>
  <si>
    <t>B6-III</t>
  </si>
  <si>
    <t>A8-IV</t>
  </si>
  <si>
    <t>B8-IV</t>
  </si>
  <si>
    <t>B2-IV</t>
  </si>
  <si>
    <t>A2-IV</t>
  </si>
  <si>
    <t>B15-III</t>
  </si>
  <si>
    <t>A15-III</t>
  </si>
  <si>
    <t>D11-II</t>
  </si>
  <si>
    <t>C11-II</t>
  </si>
  <si>
    <t>D11-I</t>
  </si>
  <si>
    <t>C11-I</t>
  </si>
  <si>
    <t>C12-I</t>
  </si>
  <si>
    <t>D12-I</t>
  </si>
  <si>
    <t>C12-II</t>
  </si>
  <si>
    <t>D12-II</t>
  </si>
  <si>
    <t>A4-III</t>
  </si>
  <si>
    <t>B4-III</t>
  </si>
  <si>
    <t>A14-IV</t>
  </si>
  <si>
    <t>B14-IV</t>
  </si>
  <si>
    <t>B5-IV</t>
  </si>
  <si>
    <t>A5-IV</t>
  </si>
  <si>
    <t>B9-III</t>
  </si>
  <si>
    <t>A9-III</t>
  </si>
  <si>
    <t>D13-II</t>
  </si>
  <si>
    <t>C13-II</t>
  </si>
  <si>
    <t>D13-I</t>
  </si>
  <si>
    <t>C13-I</t>
  </si>
  <si>
    <t>C14-I</t>
  </si>
  <si>
    <t>D14-I</t>
  </si>
  <si>
    <t>C14-II</t>
  </si>
  <si>
    <t>D14-II</t>
  </si>
  <si>
    <t>A1-III</t>
  </si>
  <si>
    <t>B1-III</t>
  </si>
  <si>
    <t>A10-IV</t>
  </si>
  <si>
    <t>B10-IV</t>
  </si>
  <si>
    <t>B3-IV</t>
  </si>
  <si>
    <t>A3-IV</t>
  </si>
  <si>
    <t>B7-III</t>
  </si>
  <si>
    <t>A7-III</t>
  </si>
  <si>
    <t>D15-II</t>
  </si>
  <si>
    <t>C15-II</t>
  </si>
  <si>
    <t>D15-I</t>
  </si>
  <si>
    <t>C15-I</t>
  </si>
  <si>
    <t>G1-I</t>
  </si>
  <si>
    <t>H1-I</t>
  </si>
  <si>
    <t>G1-II</t>
  </si>
  <si>
    <t>H1-II</t>
  </si>
  <si>
    <t>C9-III</t>
  </si>
  <si>
    <t>D9-III</t>
  </si>
  <si>
    <t>C10-IV</t>
  </si>
  <si>
    <t>D10-IV</t>
  </si>
  <si>
    <t>D6-IV</t>
  </si>
  <si>
    <t>C6-IV</t>
  </si>
  <si>
    <t>D14-III</t>
  </si>
  <si>
    <t>C14-III</t>
  </si>
  <si>
    <t>H2-II</t>
  </si>
  <si>
    <t>G2-II</t>
  </si>
  <si>
    <t>H2-I</t>
  </si>
  <si>
    <t>G2-I</t>
  </si>
  <si>
    <t>G3-I</t>
  </si>
  <si>
    <t>H3-I</t>
  </si>
  <si>
    <t>G3-II</t>
  </si>
  <si>
    <t>H3-II</t>
  </si>
  <si>
    <t>C7-III</t>
  </si>
  <si>
    <t>D7-III</t>
  </si>
  <si>
    <t>C15-IV</t>
  </si>
  <si>
    <t>D15-IV</t>
  </si>
  <si>
    <t>D14-IV</t>
  </si>
  <si>
    <t>C14-IV</t>
  </si>
  <si>
    <t>D10-III</t>
  </si>
  <si>
    <t>C10-III</t>
  </si>
  <si>
    <t>H4-II</t>
  </si>
  <si>
    <t>G4-II</t>
  </si>
  <si>
    <t>H4-I</t>
  </si>
  <si>
    <t>G4-I</t>
  </si>
  <si>
    <t>G5-I</t>
  </si>
  <si>
    <t>H5-I</t>
  </si>
  <si>
    <t>G5-II</t>
  </si>
  <si>
    <t>H5-II</t>
  </si>
  <si>
    <t>C8-III</t>
  </si>
  <si>
    <t>D8-III</t>
  </si>
  <si>
    <t>C1-IV</t>
  </si>
  <si>
    <t>D1-IV</t>
  </si>
  <si>
    <t>D3-IV</t>
  </si>
  <si>
    <t>C3-IV</t>
  </si>
  <si>
    <t>D12-III</t>
  </si>
  <si>
    <t>C12-III</t>
  </si>
  <si>
    <t>H6-II</t>
  </si>
  <si>
    <t>G6-II</t>
  </si>
  <si>
    <t>H6-I</t>
  </si>
  <si>
    <t>G6-I</t>
  </si>
  <si>
    <t>G7-I</t>
  </si>
  <si>
    <t>H7-I</t>
  </si>
  <si>
    <t>G7-II</t>
  </si>
  <si>
    <t>H7-II</t>
  </si>
  <si>
    <t>C15-III</t>
  </si>
  <si>
    <t>D15-III</t>
  </si>
  <si>
    <t>C11-IV</t>
  </si>
  <si>
    <t>D11-IV</t>
  </si>
  <si>
    <t>D13-IV</t>
  </si>
  <si>
    <t>C13-IV</t>
  </si>
  <si>
    <t>D2-III</t>
  </si>
  <si>
    <t>C2-III</t>
  </si>
  <si>
    <t>H8-II</t>
  </si>
  <si>
    <t>G8-II</t>
  </si>
  <si>
    <t>H8-I</t>
  </si>
  <si>
    <t>G8-I</t>
  </si>
  <si>
    <t>G9-I</t>
  </si>
  <si>
    <t>H9-I</t>
  </si>
  <si>
    <t>G9-II</t>
  </si>
  <si>
    <t>H9-II</t>
  </si>
  <si>
    <t>C5-III</t>
  </si>
  <si>
    <t>D5-III</t>
  </si>
  <si>
    <t>C4-IV</t>
  </si>
  <si>
    <t>D4-IV</t>
  </si>
  <si>
    <t>D9-IV</t>
  </si>
  <si>
    <t>C9-IV</t>
  </si>
  <si>
    <t>D13-III</t>
  </si>
  <si>
    <t>C13-III</t>
  </si>
  <si>
    <t>H10-II</t>
  </si>
  <si>
    <t>G10-II</t>
  </si>
  <si>
    <t>H10-I</t>
  </si>
  <si>
    <t>G10-I</t>
  </si>
  <si>
    <t>G11-I</t>
  </si>
  <si>
    <t>H11-I</t>
  </si>
  <si>
    <t>G11-II</t>
  </si>
  <si>
    <t>H11-II</t>
  </si>
  <si>
    <t>C1-III</t>
  </si>
  <si>
    <t>D1-III</t>
  </si>
  <si>
    <t>C5-IV</t>
  </si>
  <si>
    <t>D5-IV</t>
  </si>
  <si>
    <t>D7-IV</t>
  </si>
  <si>
    <t>C7-IV</t>
  </si>
  <si>
    <t>D3-III</t>
  </si>
  <si>
    <t>C3-III</t>
  </si>
  <si>
    <t>H12-II</t>
  </si>
  <si>
    <t>G12-II</t>
  </si>
  <si>
    <t>H12-I</t>
  </si>
  <si>
    <t>G12-I</t>
  </si>
  <si>
    <t>G13-I</t>
  </si>
  <si>
    <t>H13-I</t>
  </si>
  <si>
    <t>G13-II</t>
  </si>
  <si>
    <t>H13-II</t>
  </si>
  <si>
    <t>C4-III</t>
  </si>
  <si>
    <t>D4-III</t>
  </si>
  <si>
    <t>C2-IV</t>
  </si>
  <si>
    <t>D2-IV</t>
  </si>
  <si>
    <t>D12-IV</t>
  </si>
  <si>
    <t>C12-IV</t>
  </si>
  <si>
    <t>D11-III</t>
  </si>
  <si>
    <t>C11-III</t>
  </si>
  <si>
    <t>H14-II</t>
  </si>
  <si>
    <t>G14-II</t>
  </si>
  <si>
    <t>H14-I</t>
  </si>
  <si>
    <t>G14-I</t>
  </si>
  <si>
    <t>G15-I</t>
  </si>
  <si>
    <t>H15-I</t>
  </si>
  <si>
    <t>G15-II</t>
  </si>
  <si>
    <t>H15-II</t>
  </si>
  <si>
    <t>C6-III</t>
  </si>
  <si>
    <t>D6-III</t>
  </si>
  <si>
    <t>C8-IV</t>
  </si>
  <si>
    <t>D8-IV</t>
  </si>
  <si>
    <t>H8-IV</t>
  </si>
  <si>
    <t>G8-IV</t>
  </si>
  <si>
    <t>H4-III</t>
  </si>
  <si>
    <t>G4-III</t>
  </si>
  <si>
    <t>F1-II</t>
  </si>
  <si>
    <t>E1-II</t>
  </si>
  <si>
    <t>F1-I</t>
  </si>
  <si>
    <t>E1-I</t>
  </si>
  <si>
    <t>E2-I</t>
  </si>
  <si>
    <t>F2-I</t>
  </si>
  <si>
    <t>E2-II</t>
  </si>
  <si>
    <t>F2-II</t>
  </si>
  <si>
    <t>G13-III</t>
  </si>
  <si>
    <t>H13-III</t>
  </si>
  <si>
    <t>G5-IV</t>
  </si>
  <si>
    <t>H5-IV</t>
  </si>
  <si>
    <t>H12-IV</t>
  </si>
  <si>
    <t>G12-IV</t>
  </si>
  <si>
    <t>H11-III</t>
  </si>
  <si>
    <t>G11-III</t>
  </si>
  <si>
    <t>F3-II</t>
  </si>
  <si>
    <t>E3-II</t>
  </si>
  <si>
    <t>F3-I</t>
  </si>
  <si>
    <t>E3-I</t>
  </si>
  <si>
    <t>E4-I</t>
  </si>
  <si>
    <t>F4-I</t>
  </si>
  <si>
    <t>E4-II</t>
  </si>
  <si>
    <t>F4-II</t>
  </si>
  <si>
    <t>G9-III</t>
  </si>
  <si>
    <t>H9-III</t>
  </si>
  <si>
    <t>G11-IV</t>
  </si>
  <si>
    <t>H11-IV</t>
  </si>
  <si>
    <t>H2-IV</t>
  </si>
  <si>
    <t>G2-IV</t>
  </si>
  <si>
    <t>H15-III</t>
  </si>
  <si>
    <t>G15-III</t>
  </si>
  <si>
    <t>F5-II</t>
  </si>
  <si>
    <t>E5-II</t>
  </si>
  <si>
    <t>F5-I</t>
  </si>
  <si>
    <t>E5-I</t>
  </si>
  <si>
    <t>E6-I</t>
  </si>
  <si>
    <t>F6-I</t>
  </si>
  <si>
    <t>E6-II</t>
  </si>
  <si>
    <t>F6-II</t>
  </si>
  <si>
    <t>G7-III</t>
  </si>
  <si>
    <t>H7-III</t>
  </si>
  <si>
    <t>G13-IV</t>
  </si>
  <si>
    <t>H13-IV</t>
  </si>
  <si>
    <t>H3-IV</t>
  </si>
  <si>
    <t>G3-IV</t>
  </si>
  <si>
    <t>H1-III</t>
  </si>
  <si>
    <t>G1-III</t>
  </si>
  <si>
    <t>F7-II</t>
  </si>
  <si>
    <t>E7-II</t>
  </si>
  <si>
    <t>F7-I</t>
  </si>
  <si>
    <t>E7-I</t>
  </si>
  <si>
    <t>E8-I</t>
  </si>
  <si>
    <t>F8-I</t>
  </si>
  <si>
    <t>E8-II</t>
  </si>
  <si>
    <t>F8-II</t>
  </si>
  <si>
    <t>G6-III</t>
  </si>
  <si>
    <t>H6-III</t>
  </si>
  <si>
    <t>G14-IV</t>
  </si>
  <si>
    <t>H14-IV</t>
  </si>
  <si>
    <t>H10-IV</t>
  </si>
  <si>
    <t>G10-IV</t>
  </si>
  <si>
    <t>H12-III</t>
  </si>
  <si>
    <t>G12-III</t>
  </si>
  <si>
    <t>F9-II</t>
  </si>
  <si>
    <t>E9-II</t>
  </si>
  <si>
    <t>F9-I</t>
  </si>
  <si>
    <t>E9-I</t>
  </si>
  <si>
    <t>E10-I</t>
  </si>
  <si>
    <t>F10-I</t>
  </si>
  <si>
    <t>E10-II</t>
  </si>
  <si>
    <t>F10-II</t>
  </si>
  <si>
    <t>G8-III</t>
  </si>
  <si>
    <t>H8-III</t>
  </si>
  <si>
    <t>G6-IV</t>
  </si>
  <si>
    <t>H6-IV</t>
  </si>
  <si>
    <t>H15-IV</t>
  </si>
  <si>
    <t>G15-IV</t>
  </si>
  <si>
    <t>H2-III</t>
  </si>
  <si>
    <t>G2-III</t>
  </si>
  <si>
    <t>F11-II</t>
  </si>
  <si>
    <t>E11-II</t>
  </si>
  <si>
    <t>F11-I</t>
  </si>
  <si>
    <t>E11-I</t>
  </si>
  <si>
    <t>E12-I</t>
  </si>
  <si>
    <t>F12-I</t>
  </si>
  <si>
    <t>E12-II</t>
  </si>
  <si>
    <t>F12-II</t>
  </si>
  <si>
    <t>G14-III</t>
  </si>
  <si>
    <t>H14-III</t>
  </si>
  <si>
    <t>G4-IV</t>
  </si>
  <si>
    <t>H4-IV</t>
  </si>
  <si>
    <t>H9-IV</t>
  </si>
  <si>
    <t>G9-IV</t>
  </si>
  <si>
    <t>H5-III</t>
  </si>
  <si>
    <t>G5-III</t>
  </si>
  <si>
    <t>F13-II</t>
  </si>
  <si>
    <t>E13-II</t>
  </si>
  <si>
    <t>F13-I</t>
  </si>
  <si>
    <t>E13-I</t>
  </si>
  <si>
    <t>E14-I</t>
  </si>
  <si>
    <t>F14-I</t>
  </si>
  <si>
    <t>E14-II</t>
  </si>
  <si>
    <t>F14-II</t>
  </si>
  <si>
    <t>G10-III</t>
  </si>
  <si>
    <t>H10-III</t>
  </si>
  <si>
    <t>G1-IV</t>
  </si>
  <si>
    <t>H1-IV</t>
  </si>
  <si>
    <t>H7-IV</t>
  </si>
  <si>
    <t>G7-IV</t>
  </si>
  <si>
    <t>H3-III</t>
  </si>
  <si>
    <t>G3-III</t>
  </si>
  <si>
    <t>F15-II</t>
  </si>
  <si>
    <t>E15-II</t>
  </si>
  <si>
    <t>F15-I</t>
  </si>
  <si>
    <t>E15-I</t>
  </si>
  <si>
    <t xml:space="preserve">Nettó parcella: </t>
  </si>
  <si>
    <r>
      <t>1,44 m * 9 m = 12,96 m</t>
    </r>
    <r>
      <rPr>
        <vertAlign val="superscript"/>
        <sz val="10"/>
        <rFont val="Georgia"/>
        <family val="1"/>
        <charset val="238"/>
      </rPr>
      <t>2</t>
    </r>
  </si>
  <si>
    <t>Betakarítás:</t>
  </si>
  <si>
    <t>Parcellatermés kg/parc.</t>
  </si>
  <si>
    <t>Szemtermés t/ha</t>
  </si>
  <si>
    <t>Sz.a.%</t>
  </si>
  <si>
    <t>I.</t>
  </si>
  <si>
    <t>II.</t>
  </si>
  <si>
    <t>III.</t>
  </si>
  <si>
    <t>IV.</t>
  </si>
  <si>
    <t xml:space="preserve"> </t>
  </si>
  <si>
    <t>kg/parc</t>
  </si>
  <si>
    <t>víz%</t>
  </si>
  <si>
    <t>Átlag</t>
  </si>
  <si>
    <t>A trágyaszint</t>
  </si>
  <si>
    <t>N0</t>
  </si>
  <si>
    <t>B trágyaszint</t>
  </si>
  <si>
    <t>N40</t>
  </si>
  <si>
    <t>C trágyaszint</t>
  </si>
  <si>
    <t>N80</t>
  </si>
  <si>
    <t>D trágyaszint</t>
  </si>
  <si>
    <t>N120</t>
  </si>
  <si>
    <t>E trágyaszint</t>
  </si>
  <si>
    <t>N160</t>
  </si>
  <si>
    <t>F trágyaszint</t>
  </si>
  <si>
    <t>N200</t>
  </si>
  <si>
    <t>G trágyaszint</t>
  </si>
  <si>
    <t>N240</t>
  </si>
  <si>
    <t>H trágyaszint</t>
  </si>
  <si>
    <t>N280</t>
  </si>
  <si>
    <t>Koltay búza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</si>
</sst>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\ hh:mm"/>
  </numFmts>
  <fonts count="12" x14ac:knownFonts="1">
    <font>
      <sz val="10"/>
      <name val="Arial"/>
    </font>
    <font>
      <b/>
      <sz val="16"/>
      <name val="Georgia"/>
      <family val="1"/>
      <charset val="238"/>
    </font>
    <font>
      <sz val="10"/>
      <name val="Georgia"/>
      <family val="1"/>
      <charset val="238"/>
    </font>
    <font>
      <b/>
      <u/>
      <sz val="10"/>
      <name val="Georgia"/>
      <family val="1"/>
      <charset val="238"/>
    </font>
    <font>
      <b/>
      <sz val="10"/>
      <name val="Georgia"/>
      <family val="1"/>
      <charset val="238"/>
    </font>
    <font>
      <vertAlign val="superscript"/>
      <sz val="10"/>
      <name val="Georgia"/>
      <family val="1"/>
      <charset val="238"/>
    </font>
    <font>
      <sz val="11"/>
      <color theme="1"/>
      <name val="Georgia"/>
      <family val="1"/>
      <charset val="238"/>
    </font>
    <font>
      <sz val="14"/>
      <name val="Georgia"/>
      <family val="1"/>
      <charset val="238"/>
    </font>
    <font>
      <b/>
      <sz val="11"/>
      <color theme="1"/>
      <name val="Georgia"/>
      <family val="1"/>
      <charset val="238"/>
    </font>
    <font>
      <sz val="10"/>
      <color indexed="10"/>
      <name val="Georgia"/>
      <family val="1"/>
      <charset val="238"/>
    </font>
    <font>
      <sz val="8"/>
      <name val="Georgia"/>
      <family val="1"/>
      <charset val="238"/>
    </font>
    <font>
      <b/>
      <sz val="11"/>
      <color rgb="FFFF0000"/>
      <name val="Georgia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Protection="1"/>
    <xf numFmtId="0" fontId="0" fillId="0" borderId="0" xfId="0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2" fillId="2" borderId="0" xfId="0" applyFont="1" applyFill="1" applyBorder="1"/>
    <xf numFmtId="0" fontId="6" fillId="2" borderId="0" xfId="0" applyFont="1" applyFill="1"/>
    <xf numFmtId="0" fontId="7" fillId="0" borderId="0" xfId="0" applyFont="1" applyFill="1" applyBorder="1" applyAlignment="1">
      <alignment horizontal="left"/>
    </xf>
    <xf numFmtId="0" fontId="6" fillId="0" borderId="0" xfId="0" applyFont="1"/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2" fontId="10" fillId="0" borderId="2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6" fillId="0" borderId="2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0" fontId="6" fillId="0" borderId="0" xfId="0" applyFont="1" applyFill="1" applyBorder="1" applyAlignment="1"/>
    <xf numFmtId="2" fontId="2" fillId="0" borderId="0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4" fillId="3" borderId="0" xfId="0" applyNumberFormat="1" applyFont="1" applyFill="1" applyBorder="1" applyAlignment="1">
      <alignment horizontal="center"/>
    </xf>
    <xf numFmtId="14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1"/>
  <sheetViews>
    <sheetView topLeftCell="A457" zoomScaleNormal="100" workbookViewId="0"/>
  </sheetViews>
  <sheetFormatPr defaultRowHeight="12.5" x14ac:dyDescent="0.25"/>
  <cols>
    <col min="1" max="1" width="25" customWidth="1"/>
    <col min="2" max="2" width="7.81640625" style="1" customWidth="1"/>
    <col min="3" max="3" width="7.7265625" style="1" customWidth="1"/>
    <col min="4" max="4" width="5.453125" style="1" customWidth="1"/>
    <col min="5" max="5" width="8.1796875" style="1" customWidth="1"/>
    <col min="6" max="6" width="8.453125" style="1" customWidth="1"/>
    <col min="7" max="7" width="16.1796875" style="1" customWidth="1"/>
    <col min="8" max="8" width="17.26953125" style="1" customWidth="1"/>
    <col min="9" max="9" width="8.54296875" style="1" customWidth="1"/>
    <col min="10" max="10" width="10.1796875" style="1" customWidth="1"/>
    <col min="11" max="11" width="9.1796875" style="1" customWidth="1"/>
    <col min="12" max="12" width="8.54296875" style="1" customWidth="1"/>
  </cols>
  <sheetData>
    <row r="1" spans="1:1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1">
        <v>1</v>
      </c>
      <c r="C2" s="1">
        <v>1</v>
      </c>
      <c r="D2" s="1">
        <v>5.2</v>
      </c>
      <c r="E2" s="1">
        <v>13</v>
      </c>
      <c r="F2" s="1" t="s">
        <v>13</v>
      </c>
      <c r="G2" s="2">
        <v>45482</v>
      </c>
      <c r="H2" s="2">
        <v>0.40302364583333333</v>
      </c>
      <c r="I2" s="1">
        <v>1</v>
      </c>
      <c r="J2" s="1">
        <v>1022</v>
      </c>
      <c r="K2" s="1">
        <v>44.6</v>
      </c>
      <c r="L2" s="1" t="s">
        <v>14</v>
      </c>
    </row>
    <row r="3" spans="1:12" x14ac:dyDescent="0.25">
      <c r="A3" t="s">
        <v>12</v>
      </c>
      <c r="B3" s="1">
        <v>2</v>
      </c>
      <c r="C3" s="1">
        <v>1</v>
      </c>
      <c r="D3" s="1">
        <v>5.7</v>
      </c>
      <c r="E3" s="1">
        <v>13</v>
      </c>
      <c r="F3" s="1" t="s">
        <v>13</v>
      </c>
      <c r="G3" s="2">
        <v>45482</v>
      </c>
      <c r="H3" s="2">
        <v>0.40365891203703702</v>
      </c>
      <c r="I3" s="1">
        <v>2</v>
      </c>
      <c r="J3" s="1">
        <v>1022</v>
      </c>
      <c r="K3" s="1">
        <v>43.7</v>
      </c>
      <c r="L3" s="1" t="s">
        <v>15</v>
      </c>
    </row>
    <row r="4" spans="1:12" x14ac:dyDescent="0.25">
      <c r="A4" t="s">
        <v>12</v>
      </c>
      <c r="B4" s="1">
        <v>3</v>
      </c>
      <c r="C4" s="1">
        <v>1</v>
      </c>
      <c r="D4" s="1">
        <v>5.07</v>
      </c>
      <c r="E4" s="1">
        <v>12.7</v>
      </c>
      <c r="F4" s="1" t="s">
        <v>13</v>
      </c>
      <c r="G4" s="2">
        <v>45482</v>
      </c>
      <c r="H4" s="2">
        <v>0.40424244212962968</v>
      </c>
      <c r="I4" s="1">
        <v>3</v>
      </c>
      <c r="J4" s="1">
        <v>1003</v>
      </c>
      <c r="K4" s="1">
        <v>43.7</v>
      </c>
      <c r="L4" s="1" t="s">
        <v>16</v>
      </c>
    </row>
    <row r="5" spans="1:12" x14ac:dyDescent="0.25">
      <c r="A5" t="s">
        <v>12</v>
      </c>
      <c r="B5" s="1">
        <v>4</v>
      </c>
      <c r="C5" s="1">
        <v>1</v>
      </c>
      <c r="D5" s="1">
        <v>5.87</v>
      </c>
      <c r="E5" s="1">
        <v>11.6</v>
      </c>
      <c r="F5" s="1" t="s">
        <v>13</v>
      </c>
      <c r="G5" s="2">
        <v>45482</v>
      </c>
      <c r="H5" s="2">
        <v>0.40482627314814812</v>
      </c>
      <c r="I5" s="1">
        <v>4</v>
      </c>
      <c r="J5" s="1">
        <v>927</v>
      </c>
      <c r="K5" s="1">
        <v>43.3</v>
      </c>
      <c r="L5" s="1" t="s">
        <v>17</v>
      </c>
    </row>
    <row r="6" spans="1:12" x14ac:dyDescent="0.25">
      <c r="A6" t="s">
        <v>12</v>
      </c>
      <c r="B6" s="1">
        <v>5</v>
      </c>
      <c r="C6" s="1">
        <v>1</v>
      </c>
      <c r="D6" s="1">
        <v>11.44</v>
      </c>
      <c r="E6" s="1">
        <v>13</v>
      </c>
      <c r="F6" s="1" t="s">
        <v>13</v>
      </c>
      <c r="G6" s="2">
        <v>45482</v>
      </c>
      <c r="H6" s="2">
        <v>0.40532322916666669</v>
      </c>
      <c r="I6" s="1">
        <v>5</v>
      </c>
      <c r="J6" s="1">
        <v>1017</v>
      </c>
      <c r="K6" s="1">
        <v>42.9</v>
      </c>
      <c r="L6" s="1" t="s">
        <v>18</v>
      </c>
    </row>
    <row r="7" spans="1:12" x14ac:dyDescent="0.25">
      <c r="A7" t="s">
        <v>12</v>
      </c>
      <c r="B7" s="1">
        <v>6</v>
      </c>
      <c r="C7" s="1">
        <v>1</v>
      </c>
      <c r="D7" s="1">
        <v>12.32</v>
      </c>
      <c r="E7" s="1">
        <v>13</v>
      </c>
      <c r="F7" s="1" t="s">
        <v>13</v>
      </c>
      <c r="G7" s="2">
        <v>45482</v>
      </c>
      <c r="H7" s="2">
        <v>0.40591832175925929</v>
      </c>
      <c r="I7" s="1">
        <v>6</v>
      </c>
      <c r="J7" s="1">
        <v>1016</v>
      </c>
      <c r="K7" s="1">
        <v>42.7</v>
      </c>
      <c r="L7" s="1" t="s">
        <v>19</v>
      </c>
    </row>
    <row r="8" spans="1:12" x14ac:dyDescent="0.25">
      <c r="A8" t="s">
        <v>12</v>
      </c>
      <c r="B8" s="1">
        <v>7</v>
      </c>
      <c r="C8" s="1">
        <v>1</v>
      </c>
      <c r="D8" s="1">
        <v>13.04</v>
      </c>
      <c r="E8" s="1">
        <v>13.9</v>
      </c>
      <c r="F8" s="1" t="s">
        <v>13</v>
      </c>
      <c r="G8" s="2">
        <v>45482</v>
      </c>
      <c r="H8" s="2">
        <v>0.40641033564814816</v>
      </c>
      <c r="I8" s="1">
        <v>7</v>
      </c>
      <c r="J8" s="1">
        <v>1066</v>
      </c>
      <c r="K8" s="1">
        <v>42.4</v>
      </c>
      <c r="L8" s="1" t="s">
        <v>20</v>
      </c>
    </row>
    <row r="9" spans="1:12" x14ac:dyDescent="0.25">
      <c r="A9" t="s">
        <v>12</v>
      </c>
      <c r="B9" s="1">
        <v>8</v>
      </c>
      <c r="C9" s="1">
        <v>1</v>
      </c>
      <c r="D9" s="1">
        <v>13.36</v>
      </c>
      <c r="E9" s="1">
        <v>13.6</v>
      </c>
      <c r="F9" s="1" t="s">
        <v>13</v>
      </c>
      <c r="G9" s="2">
        <v>45482</v>
      </c>
      <c r="H9" s="2">
        <v>0.40687253472222223</v>
      </c>
      <c r="I9" s="1">
        <v>8</v>
      </c>
      <c r="J9" s="1">
        <v>1048</v>
      </c>
      <c r="K9" s="1">
        <v>42.1</v>
      </c>
      <c r="L9" s="1" t="s">
        <v>21</v>
      </c>
    </row>
    <row r="10" spans="1:12" x14ac:dyDescent="0.25">
      <c r="A10" t="s">
        <v>12</v>
      </c>
      <c r="B10" s="1">
        <v>8</v>
      </c>
      <c r="C10" s="1">
        <v>2</v>
      </c>
      <c r="D10" s="1">
        <v>12.03</v>
      </c>
      <c r="E10" s="1">
        <v>11.8</v>
      </c>
      <c r="F10" s="1" t="s">
        <v>13</v>
      </c>
      <c r="G10" s="2">
        <v>45482</v>
      </c>
      <c r="H10" s="2">
        <v>0.40761064814814812</v>
      </c>
      <c r="I10" s="1">
        <v>9</v>
      </c>
      <c r="J10" s="1">
        <v>937</v>
      </c>
      <c r="K10" s="1">
        <v>42.3</v>
      </c>
      <c r="L10" s="1" t="s">
        <v>22</v>
      </c>
    </row>
    <row r="11" spans="1:12" x14ac:dyDescent="0.25">
      <c r="A11" t="s">
        <v>12</v>
      </c>
      <c r="B11" s="1">
        <v>7</v>
      </c>
      <c r="C11" s="1">
        <v>2</v>
      </c>
      <c r="D11" s="1">
        <v>11.33</v>
      </c>
      <c r="E11" s="1">
        <v>13.4</v>
      </c>
      <c r="F11" s="1" t="s">
        <v>13</v>
      </c>
      <c r="G11" s="2">
        <v>45482</v>
      </c>
      <c r="H11" s="2">
        <v>0.40812989583333337</v>
      </c>
      <c r="I11" s="1">
        <v>10</v>
      </c>
      <c r="J11" s="1">
        <v>1036</v>
      </c>
      <c r="K11" s="1">
        <v>42.3</v>
      </c>
      <c r="L11" s="1" t="s">
        <v>23</v>
      </c>
    </row>
    <row r="12" spans="1:12" x14ac:dyDescent="0.25">
      <c r="A12" t="s">
        <v>12</v>
      </c>
      <c r="B12" s="1">
        <v>6</v>
      </c>
      <c r="C12" s="1">
        <v>2</v>
      </c>
      <c r="D12" s="1">
        <v>11.93</v>
      </c>
      <c r="E12" s="1">
        <v>11.5</v>
      </c>
      <c r="F12" s="1" t="s">
        <v>13</v>
      </c>
      <c r="G12" s="2">
        <v>45482</v>
      </c>
      <c r="H12" s="2">
        <v>0.40870408564814814</v>
      </c>
      <c r="I12" s="1">
        <v>11</v>
      </c>
      <c r="J12" s="1">
        <v>911</v>
      </c>
      <c r="K12" s="1">
        <v>42.1</v>
      </c>
      <c r="L12" s="1" t="s">
        <v>24</v>
      </c>
    </row>
    <row r="13" spans="1:12" x14ac:dyDescent="0.25">
      <c r="A13" t="s">
        <v>12</v>
      </c>
      <c r="B13" s="1">
        <v>5</v>
      </c>
      <c r="C13" s="1">
        <v>2</v>
      </c>
      <c r="D13" s="1">
        <v>11.97</v>
      </c>
      <c r="E13" s="1">
        <v>12.7</v>
      </c>
      <c r="F13" s="1" t="s">
        <v>13</v>
      </c>
      <c r="G13" s="2">
        <v>45482</v>
      </c>
      <c r="H13" s="2">
        <v>0.40939459490740743</v>
      </c>
      <c r="I13" s="1">
        <v>12</v>
      </c>
      <c r="J13" s="1">
        <v>994</v>
      </c>
      <c r="K13" s="1">
        <v>42.7</v>
      </c>
      <c r="L13" s="1" t="s">
        <v>25</v>
      </c>
    </row>
    <row r="14" spans="1:12" x14ac:dyDescent="0.25">
      <c r="A14" t="s">
        <v>12</v>
      </c>
      <c r="B14" s="1">
        <v>4</v>
      </c>
      <c r="C14" s="1">
        <v>2</v>
      </c>
      <c r="D14" s="1">
        <v>9.34</v>
      </c>
      <c r="E14" s="1">
        <v>13.6</v>
      </c>
      <c r="F14" s="1" t="s">
        <v>13</v>
      </c>
      <c r="G14" s="2">
        <v>45482</v>
      </c>
      <c r="H14" s="2">
        <v>0.40994050925925929</v>
      </c>
      <c r="I14" s="1">
        <v>13</v>
      </c>
      <c r="J14" s="1">
        <v>1047</v>
      </c>
      <c r="K14" s="1">
        <v>42.5</v>
      </c>
      <c r="L14" s="1" t="s">
        <v>26</v>
      </c>
    </row>
    <row r="15" spans="1:12" x14ac:dyDescent="0.25">
      <c r="A15" t="s">
        <v>12</v>
      </c>
      <c r="B15" s="1">
        <v>3</v>
      </c>
      <c r="C15" s="1">
        <v>2</v>
      </c>
      <c r="D15" s="1">
        <v>7.68</v>
      </c>
      <c r="E15" s="1">
        <v>13.4</v>
      </c>
      <c r="F15" s="1" t="s">
        <v>13</v>
      </c>
      <c r="G15" s="2">
        <v>45482</v>
      </c>
      <c r="H15" s="2">
        <v>0.41055968749999999</v>
      </c>
      <c r="I15" s="1">
        <v>14</v>
      </c>
      <c r="J15" s="1">
        <v>1040</v>
      </c>
      <c r="K15" s="1">
        <v>42.8</v>
      </c>
      <c r="L15" s="1" t="s">
        <v>27</v>
      </c>
    </row>
    <row r="16" spans="1:12" x14ac:dyDescent="0.25">
      <c r="A16" t="s">
        <v>12</v>
      </c>
      <c r="B16" s="1">
        <v>2</v>
      </c>
      <c r="C16" s="1">
        <v>2</v>
      </c>
      <c r="D16" s="1">
        <v>10.53</v>
      </c>
      <c r="E16" s="1">
        <v>13.5</v>
      </c>
      <c r="F16" s="1" t="s">
        <v>13</v>
      </c>
      <c r="G16" s="2">
        <v>45482</v>
      </c>
      <c r="H16" s="2">
        <v>0.41120937499999999</v>
      </c>
      <c r="I16" s="1">
        <v>15</v>
      </c>
      <c r="J16" s="1">
        <v>1046</v>
      </c>
      <c r="K16" s="1">
        <v>42.9</v>
      </c>
      <c r="L16" s="1" t="s">
        <v>28</v>
      </c>
    </row>
    <row r="17" spans="1:12" x14ac:dyDescent="0.25">
      <c r="A17" t="s">
        <v>12</v>
      </c>
      <c r="B17" s="1">
        <v>1</v>
      </c>
      <c r="C17" s="1">
        <v>2</v>
      </c>
      <c r="D17" s="1">
        <v>8.3800000000000008</v>
      </c>
      <c r="E17" s="1">
        <v>12.1</v>
      </c>
      <c r="F17" s="1" t="s">
        <v>13</v>
      </c>
      <c r="G17" s="2">
        <v>45482</v>
      </c>
      <c r="H17" s="2">
        <v>0.41184278935185181</v>
      </c>
      <c r="I17" s="1">
        <v>16</v>
      </c>
      <c r="J17" s="1">
        <v>961</v>
      </c>
      <c r="K17" s="1">
        <v>42.8</v>
      </c>
      <c r="L17" s="1" t="s">
        <v>29</v>
      </c>
    </row>
    <row r="18" spans="1:12" x14ac:dyDescent="0.25">
      <c r="A18" t="s">
        <v>12</v>
      </c>
      <c r="B18" s="1">
        <v>1</v>
      </c>
      <c r="C18" s="1">
        <v>3</v>
      </c>
      <c r="D18" s="1">
        <v>7.18</v>
      </c>
      <c r="E18" s="1">
        <v>12.8</v>
      </c>
      <c r="F18" s="1" t="s">
        <v>13</v>
      </c>
      <c r="G18" s="2">
        <v>45482</v>
      </c>
      <c r="H18" s="2">
        <v>0.41256315972222224</v>
      </c>
      <c r="I18" s="1">
        <v>17</v>
      </c>
      <c r="J18" s="1">
        <v>1005</v>
      </c>
      <c r="K18" s="1">
        <v>43.6</v>
      </c>
      <c r="L18" s="1" t="s">
        <v>30</v>
      </c>
    </row>
    <row r="19" spans="1:12" x14ac:dyDescent="0.25">
      <c r="A19" t="s">
        <v>12</v>
      </c>
      <c r="B19" s="1">
        <v>2</v>
      </c>
      <c r="C19" s="1">
        <v>3</v>
      </c>
      <c r="D19" s="1">
        <v>8.26</v>
      </c>
      <c r="E19" s="1">
        <v>12.6</v>
      </c>
      <c r="F19" s="1" t="s">
        <v>13</v>
      </c>
      <c r="G19" s="2">
        <v>45482</v>
      </c>
      <c r="H19" s="2">
        <v>0.41323804398148145</v>
      </c>
      <c r="I19" s="1">
        <v>18</v>
      </c>
      <c r="J19" s="1">
        <v>992</v>
      </c>
      <c r="K19" s="1">
        <v>43.5</v>
      </c>
      <c r="L19" s="1" t="s">
        <v>31</v>
      </c>
    </row>
    <row r="20" spans="1:12" x14ac:dyDescent="0.25">
      <c r="A20" t="s">
        <v>12</v>
      </c>
      <c r="B20" s="1">
        <v>3</v>
      </c>
      <c r="C20" s="1">
        <v>3</v>
      </c>
      <c r="D20" s="1">
        <v>6.49</v>
      </c>
      <c r="E20" s="1">
        <v>12.6</v>
      </c>
      <c r="F20" s="1" t="s">
        <v>13</v>
      </c>
      <c r="G20" s="2">
        <v>45482</v>
      </c>
      <c r="H20" s="2">
        <v>0.41375983796296295</v>
      </c>
      <c r="I20" s="1">
        <v>19</v>
      </c>
      <c r="J20" s="1">
        <v>996</v>
      </c>
      <c r="K20" s="1">
        <v>43.5</v>
      </c>
      <c r="L20" s="1" t="s">
        <v>32</v>
      </c>
    </row>
    <row r="21" spans="1:12" x14ac:dyDescent="0.25">
      <c r="A21" t="s">
        <v>12</v>
      </c>
      <c r="B21" s="1">
        <v>4</v>
      </c>
      <c r="C21" s="1">
        <v>3</v>
      </c>
      <c r="D21" s="1">
        <v>8</v>
      </c>
      <c r="E21" s="1">
        <v>12.4</v>
      </c>
      <c r="F21" s="1" t="s">
        <v>13</v>
      </c>
      <c r="G21" s="2">
        <v>45482</v>
      </c>
      <c r="H21" s="2">
        <v>0.41429791666666671</v>
      </c>
      <c r="I21" s="1">
        <v>20</v>
      </c>
      <c r="J21" s="1">
        <v>981</v>
      </c>
      <c r="K21" s="1">
        <v>42.9</v>
      </c>
      <c r="L21" s="1" t="s">
        <v>33</v>
      </c>
    </row>
    <row r="22" spans="1:12" x14ac:dyDescent="0.25">
      <c r="A22" t="s">
        <v>12</v>
      </c>
      <c r="B22" s="1">
        <v>5</v>
      </c>
      <c r="C22" s="1">
        <v>3</v>
      </c>
      <c r="D22" s="1">
        <v>11.98</v>
      </c>
      <c r="E22" s="1">
        <v>13.1</v>
      </c>
      <c r="F22" s="1" t="s">
        <v>13</v>
      </c>
      <c r="G22" s="2">
        <v>45482</v>
      </c>
      <c r="H22" s="2">
        <v>0.41488912037037035</v>
      </c>
      <c r="I22" s="1">
        <v>21</v>
      </c>
      <c r="J22" s="1">
        <v>1019</v>
      </c>
      <c r="K22" s="1">
        <v>42.9</v>
      </c>
      <c r="L22" s="1" t="s">
        <v>34</v>
      </c>
    </row>
    <row r="23" spans="1:12" x14ac:dyDescent="0.25">
      <c r="A23" t="s">
        <v>12</v>
      </c>
      <c r="B23" s="1">
        <v>6</v>
      </c>
      <c r="C23" s="1">
        <v>3</v>
      </c>
      <c r="D23" s="1">
        <v>11.89</v>
      </c>
      <c r="E23" s="1">
        <v>13</v>
      </c>
      <c r="F23" s="1" t="s">
        <v>13</v>
      </c>
      <c r="G23" s="2">
        <v>45482</v>
      </c>
      <c r="H23" s="2">
        <v>0.41548677083333335</v>
      </c>
      <c r="I23" s="1">
        <v>22</v>
      </c>
      <c r="J23" s="1">
        <v>1014</v>
      </c>
      <c r="K23" s="1">
        <v>42.9</v>
      </c>
      <c r="L23" s="1" t="s">
        <v>35</v>
      </c>
    </row>
    <row r="24" spans="1:12" x14ac:dyDescent="0.25">
      <c r="A24" t="s">
        <v>12</v>
      </c>
      <c r="B24" s="1">
        <v>7</v>
      </c>
      <c r="C24" s="1">
        <v>3</v>
      </c>
      <c r="D24" s="1">
        <v>12.33</v>
      </c>
      <c r="E24" s="1">
        <v>11.8</v>
      </c>
      <c r="F24" s="1" t="s">
        <v>13</v>
      </c>
      <c r="G24" s="2">
        <v>45482</v>
      </c>
      <c r="H24" s="2">
        <v>0.41623402777777779</v>
      </c>
      <c r="I24" s="1">
        <v>23</v>
      </c>
      <c r="J24" s="1">
        <v>936</v>
      </c>
      <c r="K24" s="1">
        <v>42.9</v>
      </c>
      <c r="L24" s="1" t="s">
        <v>36</v>
      </c>
    </row>
    <row r="25" spans="1:12" x14ac:dyDescent="0.25">
      <c r="A25" t="s">
        <v>12</v>
      </c>
      <c r="B25" s="1">
        <v>8</v>
      </c>
      <c r="C25" s="1">
        <v>3</v>
      </c>
      <c r="D25" s="1">
        <v>12.58</v>
      </c>
      <c r="E25" s="1">
        <v>12.7</v>
      </c>
      <c r="F25" s="1" t="s">
        <v>13</v>
      </c>
      <c r="G25" s="2">
        <v>45482</v>
      </c>
      <c r="H25" s="2">
        <v>0.41713966435185185</v>
      </c>
      <c r="I25" s="1">
        <v>24</v>
      </c>
      <c r="J25" s="1">
        <v>998</v>
      </c>
      <c r="K25" s="1">
        <v>42.5</v>
      </c>
      <c r="L25" s="1" t="s">
        <v>37</v>
      </c>
    </row>
    <row r="26" spans="1:12" x14ac:dyDescent="0.25">
      <c r="A26" t="s">
        <v>12</v>
      </c>
      <c r="B26" s="1">
        <v>8</v>
      </c>
      <c r="C26" s="1">
        <v>4</v>
      </c>
      <c r="D26" s="1">
        <v>12.97</v>
      </c>
      <c r="E26" s="1">
        <v>12.9</v>
      </c>
      <c r="F26" s="1" t="s">
        <v>13</v>
      </c>
      <c r="G26" s="2">
        <v>45482</v>
      </c>
      <c r="H26" s="2">
        <v>0.41783047453703703</v>
      </c>
      <c r="I26" s="1">
        <v>25</v>
      </c>
      <c r="J26" s="1">
        <v>1011</v>
      </c>
      <c r="K26" s="1">
        <v>43.1</v>
      </c>
      <c r="L26" s="1" t="s">
        <v>38</v>
      </c>
    </row>
    <row r="27" spans="1:12" x14ac:dyDescent="0.25">
      <c r="A27" t="s">
        <v>12</v>
      </c>
      <c r="B27" s="1">
        <v>7</v>
      </c>
      <c r="C27" s="1">
        <v>4</v>
      </c>
      <c r="D27" s="1">
        <v>12.28</v>
      </c>
      <c r="E27" s="1">
        <v>13.4</v>
      </c>
      <c r="F27" s="1" t="s">
        <v>13</v>
      </c>
      <c r="G27" s="2">
        <v>45482</v>
      </c>
      <c r="H27" s="2">
        <v>0.41852569444444443</v>
      </c>
      <c r="I27" s="1">
        <v>26</v>
      </c>
      <c r="J27" s="1">
        <v>1038</v>
      </c>
      <c r="K27" s="1">
        <v>42.8</v>
      </c>
      <c r="L27" s="1" t="s">
        <v>39</v>
      </c>
    </row>
    <row r="28" spans="1:12" x14ac:dyDescent="0.25">
      <c r="A28" t="s">
        <v>12</v>
      </c>
      <c r="B28" s="1">
        <v>6</v>
      </c>
      <c r="C28" s="1">
        <v>4</v>
      </c>
      <c r="D28" s="1">
        <v>12.92</v>
      </c>
      <c r="E28" s="1">
        <v>16.8</v>
      </c>
      <c r="F28" s="1" t="s">
        <v>13</v>
      </c>
      <c r="G28" s="2">
        <v>45482</v>
      </c>
      <c r="H28" s="2">
        <v>0.41920146990740742</v>
      </c>
      <c r="I28" s="1">
        <v>27</v>
      </c>
      <c r="J28" s="1">
        <v>1221</v>
      </c>
      <c r="K28" s="1">
        <v>43.3</v>
      </c>
      <c r="L28" s="1" t="s">
        <v>40</v>
      </c>
    </row>
    <row r="29" spans="1:12" x14ac:dyDescent="0.25">
      <c r="A29" t="s">
        <v>12</v>
      </c>
      <c r="B29" s="1">
        <v>5</v>
      </c>
      <c r="C29" s="1">
        <v>4</v>
      </c>
      <c r="D29" s="1">
        <v>12.88</v>
      </c>
      <c r="E29" s="1">
        <v>16.5</v>
      </c>
      <c r="F29" s="1" t="s">
        <v>13</v>
      </c>
      <c r="G29" s="2">
        <v>45482</v>
      </c>
      <c r="H29" s="2">
        <v>0.41989328703703704</v>
      </c>
      <c r="I29" s="1">
        <v>28</v>
      </c>
      <c r="J29" s="1">
        <v>1207</v>
      </c>
      <c r="K29" s="1">
        <v>43.2</v>
      </c>
      <c r="L29" s="1" t="s">
        <v>41</v>
      </c>
    </row>
    <row r="30" spans="1:12" x14ac:dyDescent="0.25">
      <c r="A30" t="s">
        <v>12</v>
      </c>
      <c r="B30" s="1">
        <v>4</v>
      </c>
      <c r="C30" s="1">
        <v>4</v>
      </c>
      <c r="D30" s="1">
        <v>8.98</v>
      </c>
      <c r="E30" s="1">
        <v>12.3</v>
      </c>
      <c r="F30" s="1" t="s">
        <v>13</v>
      </c>
      <c r="G30" s="2">
        <v>45482</v>
      </c>
      <c r="H30" s="2">
        <v>0.42245038194444445</v>
      </c>
      <c r="I30" s="1">
        <v>29</v>
      </c>
      <c r="J30" s="1">
        <v>994</v>
      </c>
      <c r="K30" s="1">
        <v>46.3</v>
      </c>
      <c r="L30" s="1" t="s">
        <v>42</v>
      </c>
    </row>
    <row r="31" spans="1:12" x14ac:dyDescent="0.25">
      <c r="A31" t="s">
        <v>12</v>
      </c>
      <c r="B31" s="1">
        <v>3</v>
      </c>
      <c r="C31" s="1">
        <v>4</v>
      </c>
      <c r="D31" s="1">
        <v>7.05</v>
      </c>
      <c r="E31" s="1">
        <v>12.5</v>
      </c>
      <c r="F31" s="1" t="s">
        <v>13</v>
      </c>
      <c r="G31" s="2">
        <v>45482</v>
      </c>
      <c r="H31" s="2">
        <v>0.42307947916666666</v>
      </c>
      <c r="I31" s="1">
        <v>30</v>
      </c>
      <c r="J31" s="1">
        <v>1002</v>
      </c>
      <c r="K31" s="1">
        <v>45.6</v>
      </c>
      <c r="L31" s="1" t="s">
        <v>43</v>
      </c>
    </row>
    <row r="32" spans="1:12" x14ac:dyDescent="0.25">
      <c r="A32" t="s">
        <v>12</v>
      </c>
      <c r="B32" s="1">
        <v>2</v>
      </c>
      <c r="C32" s="1">
        <v>4</v>
      </c>
      <c r="D32" s="1">
        <v>9.32</v>
      </c>
      <c r="E32" s="1">
        <v>12.8</v>
      </c>
      <c r="F32" s="1" t="s">
        <v>13</v>
      </c>
      <c r="G32" s="2">
        <v>45482</v>
      </c>
      <c r="H32" s="2">
        <v>0.4236096412037037</v>
      </c>
      <c r="I32" s="1">
        <v>31</v>
      </c>
      <c r="J32" s="1">
        <v>1015</v>
      </c>
      <c r="K32" s="1">
        <v>45.1</v>
      </c>
      <c r="L32" s="1" t="s">
        <v>44</v>
      </c>
    </row>
    <row r="33" spans="1:12" x14ac:dyDescent="0.25">
      <c r="A33" t="s">
        <v>12</v>
      </c>
      <c r="B33" s="1">
        <v>1</v>
      </c>
      <c r="C33" s="1">
        <v>4</v>
      </c>
      <c r="D33" s="1">
        <v>7.82</v>
      </c>
      <c r="E33" s="1">
        <v>12.6</v>
      </c>
      <c r="F33" s="1" t="s">
        <v>13</v>
      </c>
      <c r="G33" s="2">
        <v>45482</v>
      </c>
      <c r="H33" s="2">
        <v>0.42422500000000002</v>
      </c>
      <c r="I33" s="1">
        <v>32</v>
      </c>
      <c r="J33" s="1">
        <v>1003</v>
      </c>
      <c r="K33" s="1">
        <v>44.7</v>
      </c>
      <c r="L33" s="1" t="s">
        <v>45</v>
      </c>
    </row>
    <row r="34" spans="1:12" x14ac:dyDescent="0.25">
      <c r="A34" t="s">
        <v>12</v>
      </c>
      <c r="B34" s="1">
        <v>1</v>
      </c>
      <c r="C34" s="1">
        <v>5</v>
      </c>
      <c r="D34" s="1">
        <v>7.45</v>
      </c>
      <c r="E34" s="1">
        <v>12.7</v>
      </c>
      <c r="F34" s="1" t="s">
        <v>13</v>
      </c>
      <c r="G34" s="2">
        <v>45482</v>
      </c>
      <c r="H34" s="2">
        <v>0.42688075231481482</v>
      </c>
      <c r="I34" s="1">
        <v>33</v>
      </c>
      <c r="J34" s="1">
        <v>1020</v>
      </c>
      <c r="K34" s="1">
        <v>47.1</v>
      </c>
      <c r="L34" s="1" t="s">
        <v>46</v>
      </c>
    </row>
    <row r="35" spans="1:12" x14ac:dyDescent="0.25">
      <c r="A35" t="s">
        <v>12</v>
      </c>
      <c r="B35" s="1">
        <v>2</v>
      </c>
      <c r="C35" s="1">
        <v>5</v>
      </c>
      <c r="D35" s="1">
        <v>9.69</v>
      </c>
      <c r="E35" s="1">
        <v>13</v>
      </c>
      <c r="F35" s="1" t="s">
        <v>13</v>
      </c>
      <c r="G35" s="2">
        <v>45482</v>
      </c>
      <c r="H35" s="2">
        <v>0.42741940972222225</v>
      </c>
      <c r="I35" s="1">
        <v>34</v>
      </c>
      <c r="J35" s="1">
        <v>1032</v>
      </c>
      <c r="K35" s="1">
        <v>46.2</v>
      </c>
      <c r="L35" s="1" t="s">
        <v>47</v>
      </c>
    </row>
    <row r="36" spans="1:12" x14ac:dyDescent="0.25">
      <c r="A36" t="s">
        <v>12</v>
      </c>
      <c r="B36" s="1">
        <v>3</v>
      </c>
      <c r="C36" s="1">
        <v>5</v>
      </c>
      <c r="D36" s="1">
        <v>7.39</v>
      </c>
      <c r="E36" s="1">
        <v>12.8</v>
      </c>
      <c r="F36" s="1" t="s">
        <v>13</v>
      </c>
      <c r="G36" s="2">
        <v>45482</v>
      </c>
      <c r="H36" s="2">
        <v>0.42793885416666666</v>
      </c>
      <c r="I36" s="1">
        <v>35</v>
      </c>
      <c r="J36" s="1">
        <v>1018</v>
      </c>
      <c r="K36" s="1">
        <v>45.5</v>
      </c>
      <c r="L36" s="1" t="s">
        <v>48</v>
      </c>
    </row>
    <row r="37" spans="1:12" x14ac:dyDescent="0.25">
      <c r="A37" t="s">
        <v>12</v>
      </c>
      <c r="B37" s="1">
        <v>4</v>
      </c>
      <c r="C37" s="1">
        <v>5</v>
      </c>
      <c r="D37" s="1">
        <v>9.39</v>
      </c>
      <c r="E37" s="1">
        <v>12.9</v>
      </c>
      <c r="F37" s="1" t="s">
        <v>13</v>
      </c>
      <c r="G37" s="2">
        <v>45482</v>
      </c>
      <c r="H37" s="2">
        <v>0.42844444444444446</v>
      </c>
      <c r="I37" s="1">
        <v>36</v>
      </c>
      <c r="J37" s="1">
        <v>1019</v>
      </c>
      <c r="K37" s="1">
        <v>44.8</v>
      </c>
      <c r="L37" s="1" t="s">
        <v>49</v>
      </c>
    </row>
    <row r="38" spans="1:12" x14ac:dyDescent="0.25">
      <c r="A38" t="s">
        <v>12</v>
      </c>
      <c r="B38" s="1">
        <v>5</v>
      </c>
      <c r="C38" s="1">
        <v>5</v>
      </c>
      <c r="D38" s="1">
        <v>5.52</v>
      </c>
      <c r="E38" s="1">
        <v>11.8</v>
      </c>
      <c r="F38" s="1" t="s">
        <v>13</v>
      </c>
      <c r="G38" s="2">
        <v>45482</v>
      </c>
      <c r="H38" s="2">
        <v>0.4291008912037037</v>
      </c>
      <c r="I38" s="1">
        <v>37</v>
      </c>
      <c r="J38" s="1">
        <v>952</v>
      </c>
      <c r="K38" s="1">
        <v>44.8</v>
      </c>
      <c r="L38" s="1" t="s">
        <v>50</v>
      </c>
    </row>
    <row r="39" spans="1:12" x14ac:dyDescent="0.25">
      <c r="A39" t="s">
        <v>12</v>
      </c>
      <c r="B39" s="1">
        <v>6</v>
      </c>
      <c r="C39" s="1">
        <v>5</v>
      </c>
      <c r="D39" s="1">
        <v>5.55</v>
      </c>
      <c r="E39" s="1">
        <v>12.2</v>
      </c>
      <c r="F39" s="1" t="s">
        <v>13</v>
      </c>
      <c r="G39" s="2">
        <v>45482</v>
      </c>
      <c r="H39" s="2">
        <v>0.4296976851851852</v>
      </c>
      <c r="I39" s="1">
        <v>38</v>
      </c>
      <c r="J39" s="1">
        <v>976</v>
      </c>
      <c r="K39" s="1">
        <v>44.7</v>
      </c>
      <c r="L39" s="1" t="s">
        <v>51</v>
      </c>
    </row>
    <row r="40" spans="1:12" x14ac:dyDescent="0.25">
      <c r="A40" t="s">
        <v>12</v>
      </c>
      <c r="B40" s="1">
        <v>7</v>
      </c>
      <c r="C40" s="1">
        <v>5</v>
      </c>
      <c r="D40" s="1">
        <v>11</v>
      </c>
      <c r="E40" s="1">
        <v>13.2</v>
      </c>
      <c r="F40" s="1" t="s">
        <v>13</v>
      </c>
      <c r="G40" s="2">
        <v>45482</v>
      </c>
      <c r="H40" s="2">
        <v>0.43023498842592595</v>
      </c>
      <c r="I40" s="1">
        <v>39</v>
      </c>
      <c r="J40" s="1">
        <v>1035</v>
      </c>
      <c r="K40" s="1">
        <v>44.6</v>
      </c>
      <c r="L40" s="1" t="s">
        <v>52</v>
      </c>
    </row>
    <row r="41" spans="1:12" x14ac:dyDescent="0.25">
      <c r="A41" t="s">
        <v>12</v>
      </c>
      <c r="B41" s="1">
        <v>8</v>
      </c>
      <c r="C41" s="1">
        <v>5</v>
      </c>
      <c r="D41" s="1">
        <v>11.73</v>
      </c>
      <c r="E41" s="1">
        <v>12.7</v>
      </c>
      <c r="F41" s="1" t="s">
        <v>13</v>
      </c>
      <c r="G41" s="2">
        <v>45482</v>
      </c>
      <c r="H41" s="2">
        <v>0.43081952546296298</v>
      </c>
      <c r="I41" s="1">
        <v>40</v>
      </c>
      <c r="J41" s="1">
        <v>1006</v>
      </c>
      <c r="K41" s="1">
        <v>44.4</v>
      </c>
      <c r="L41" s="1" t="s">
        <v>53</v>
      </c>
    </row>
    <row r="42" spans="1:12" x14ac:dyDescent="0.25">
      <c r="A42" t="s">
        <v>12</v>
      </c>
      <c r="B42" s="1">
        <v>8</v>
      </c>
      <c r="C42" s="1">
        <v>6</v>
      </c>
      <c r="D42" s="1">
        <v>11.62</v>
      </c>
      <c r="E42" s="1">
        <v>12.6</v>
      </c>
      <c r="F42" s="1" t="s">
        <v>13</v>
      </c>
      <c r="G42" s="2">
        <v>45482</v>
      </c>
      <c r="H42" s="2">
        <v>0.43149872685185187</v>
      </c>
      <c r="I42" s="1">
        <v>41</v>
      </c>
      <c r="J42" s="1">
        <v>999</v>
      </c>
      <c r="K42" s="1">
        <v>44.7</v>
      </c>
      <c r="L42" s="1" t="s">
        <v>54</v>
      </c>
    </row>
    <row r="43" spans="1:12" x14ac:dyDescent="0.25">
      <c r="A43" t="s">
        <v>12</v>
      </c>
      <c r="B43" s="1">
        <v>7</v>
      </c>
      <c r="C43" s="1">
        <v>6</v>
      </c>
      <c r="D43" s="1">
        <v>10.53</v>
      </c>
      <c r="E43" s="1">
        <v>12.3</v>
      </c>
      <c r="F43" s="1" t="s">
        <v>13</v>
      </c>
      <c r="G43" s="2">
        <v>45482</v>
      </c>
      <c r="H43" s="2">
        <v>0.4320084490740741</v>
      </c>
      <c r="I43" s="1">
        <v>42</v>
      </c>
      <c r="J43" s="1">
        <v>981</v>
      </c>
      <c r="K43" s="1">
        <v>44.4</v>
      </c>
      <c r="L43" s="1" t="s">
        <v>55</v>
      </c>
    </row>
    <row r="44" spans="1:12" x14ac:dyDescent="0.25">
      <c r="A44" t="s">
        <v>12</v>
      </c>
      <c r="B44" s="1">
        <v>6</v>
      </c>
      <c r="C44" s="1">
        <v>6</v>
      </c>
      <c r="D44" s="1">
        <v>11.26</v>
      </c>
      <c r="E44" s="1">
        <v>12.4</v>
      </c>
      <c r="F44" s="1" t="s">
        <v>13</v>
      </c>
      <c r="G44" s="2">
        <v>45482</v>
      </c>
      <c r="H44" s="2">
        <v>0.43263067129629629</v>
      </c>
      <c r="I44" s="1">
        <v>43</v>
      </c>
      <c r="J44" s="1">
        <v>990</v>
      </c>
      <c r="K44" s="1">
        <v>44.4</v>
      </c>
      <c r="L44" s="1" t="s">
        <v>56</v>
      </c>
    </row>
    <row r="45" spans="1:12" x14ac:dyDescent="0.25">
      <c r="A45" t="s">
        <v>12</v>
      </c>
      <c r="B45" s="1">
        <v>5</v>
      </c>
      <c r="C45" s="1">
        <v>6</v>
      </c>
      <c r="D45" s="1">
        <v>11.12</v>
      </c>
      <c r="E45" s="1">
        <v>13</v>
      </c>
      <c r="F45" s="1" t="s">
        <v>13</v>
      </c>
      <c r="G45" s="2">
        <v>45482</v>
      </c>
      <c r="H45" s="2">
        <v>0.43346450231481481</v>
      </c>
      <c r="I45" s="1">
        <v>44</v>
      </c>
      <c r="J45" s="1">
        <v>1024</v>
      </c>
      <c r="K45" s="1">
        <v>45</v>
      </c>
      <c r="L45" s="1" t="s">
        <v>57</v>
      </c>
    </row>
    <row r="46" spans="1:12" x14ac:dyDescent="0.25">
      <c r="A46" t="s">
        <v>12</v>
      </c>
      <c r="B46" s="1">
        <v>4</v>
      </c>
      <c r="C46" s="1">
        <v>6</v>
      </c>
      <c r="D46" s="1">
        <v>9.1999999999999993</v>
      </c>
      <c r="E46" s="1">
        <v>12.4</v>
      </c>
      <c r="F46" s="1" t="s">
        <v>13</v>
      </c>
      <c r="G46" s="2">
        <v>45482</v>
      </c>
      <c r="H46" s="2">
        <v>0.43421061342592593</v>
      </c>
      <c r="I46" s="1">
        <v>45</v>
      </c>
      <c r="J46" s="1">
        <v>992</v>
      </c>
      <c r="K46" s="1">
        <v>45</v>
      </c>
      <c r="L46" s="1" t="s">
        <v>58</v>
      </c>
    </row>
    <row r="47" spans="1:12" x14ac:dyDescent="0.25">
      <c r="A47" t="s">
        <v>12</v>
      </c>
      <c r="B47" s="1">
        <v>3</v>
      </c>
      <c r="C47" s="1">
        <v>6</v>
      </c>
      <c r="D47" s="1">
        <v>7.4</v>
      </c>
      <c r="E47" s="1">
        <v>12.4</v>
      </c>
      <c r="F47" s="1" t="s">
        <v>13</v>
      </c>
      <c r="G47" s="2">
        <v>45482</v>
      </c>
      <c r="H47" s="2">
        <v>0.43478101851851852</v>
      </c>
      <c r="I47" s="1">
        <v>46</v>
      </c>
      <c r="J47" s="1">
        <v>988</v>
      </c>
      <c r="K47" s="1">
        <v>45</v>
      </c>
      <c r="L47" s="1" t="s">
        <v>59</v>
      </c>
    </row>
    <row r="48" spans="1:12" x14ac:dyDescent="0.25">
      <c r="A48" t="s">
        <v>12</v>
      </c>
      <c r="B48" s="1">
        <v>2</v>
      </c>
      <c r="C48" s="1">
        <v>6</v>
      </c>
      <c r="D48" s="1">
        <v>9.59</v>
      </c>
      <c r="E48" s="1">
        <v>12.6</v>
      </c>
      <c r="F48" s="1" t="s">
        <v>13</v>
      </c>
      <c r="G48" s="2">
        <v>45482</v>
      </c>
      <c r="H48" s="2">
        <v>0.43529791666666667</v>
      </c>
      <c r="I48" s="1">
        <v>47</v>
      </c>
      <c r="J48" s="1">
        <v>1004</v>
      </c>
      <c r="K48" s="1">
        <v>45</v>
      </c>
      <c r="L48" s="1" t="s">
        <v>60</v>
      </c>
    </row>
    <row r="49" spans="1:12" x14ac:dyDescent="0.25">
      <c r="A49" t="s">
        <v>12</v>
      </c>
      <c r="B49" s="1">
        <v>1</v>
      </c>
      <c r="C49" s="1">
        <v>6</v>
      </c>
      <c r="D49" s="1">
        <v>7.68</v>
      </c>
      <c r="E49" s="1">
        <v>12.5</v>
      </c>
      <c r="F49" s="1" t="s">
        <v>13</v>
      </c>
      <c r="G49" s="2">
        <v>45482</v>
      </c>
      <c r="H49" s="2">
        <v>0.43588989583333332</v>
      </c>
      <c r="I49" s="1">
        <v>48</v>
      </c>
      <c r="J49" s="1">
        <v>998</v>
      </c>
      <c r="K49" s="1">
        <v>45.1</v>
      </c>
      <c r="L49" s="1" t="s">
        <v>61</v>
      </c>
    </row>
    <row r="50" spans="1:12" x14ac:dyDescent="0.25">
      <c r="A50" t="s">
        <v>12</v>
      </c>
      <c r="B50" s="1">
        <v>1</v>
      </c>
      <c r="C50" s="1">
        <v>7</v>
      </c>
      <c r="D50" s="1">
        <v>7.83</v>
      </c>
      <c r="E50" s="1">
        <v>12.7</v>
      </c>
      <c r="F50" s="1" t="s">
        <v>13</v>
      </c>
      <c r="G50" s="2">
        <v>45482</v>
      </c>
      <c r="H50" s="2">
        <v>0.43652334490740741</v>
      </c>
      <c r="I50" s="1">
        <v>49</v>
      </c>
      <c r="J50" s="1">
        <v>1012</v>
      </c>
      <c r="K50" s="1">
        <v>45.5</v>
      </c>
      <c r="L50" s="1" t="s">
        <v>62</v>
      </c>
    </row>
    <row r="51" spans="1:12" x14ac:dyDescent="0.25">
      <c r="A51" t="s">
        <v>12</v>
      </c>
      <c r="B51" s="1">
        <v>2</v>
      </c>
      <c r="C51" s="1">
        <v>7</v>
      </c>
      <c r="D51" s="1">
        <v>10.08</v>
      </c>
      <c r="E51" s="1">
        <v>12.6</v>
      </c>
      <c r="F51" s="1" t="s">
        <v>13</v>
      </c>
      <c r="G51" s="2">
        <v>45482</v>
      </c>
      <c r="H51" s="2">
        <v>0.4371334837962963</v>
      </c>
      <c r="I51" s="1">
        <v>50</v>
      </c>
      <c r="J51" s="1">
        <v>1005</v>
      </c>
      <c r="K51" s="1">
        <v>45</v>
      </c>
      <c r="L51" s="1" t="s">
        <v>63</v>
      </c>
    </row>
    <row r="52" spans="1:12" x14ac:dyDescent="0.25">
      <c r="A52" t="s">
        <v>12</v>
      </c>
      <c r="B52" s="1">
        <v>3</v>
      </c>
      <c r="C52" s="1">
        <v>7</v>
      </c>
      <c r="D52" s="1">
        <v>7.55</v>
      </c>
      <c r="E52" s="1">
        <v>12.7</v>
      </c>
      <c r="F52" s="1" t="s">
        <v>13</v>
      </c>
      <c r="G52" s="2">
        <v>45482</v>
      </c>
      <c r="H52" s="2">
        <v>0.43772615740740739</v>
      </c>
      <c r="I52" s="1">
        <v>51</v>
      </c>
      <c r="J52" s="1">
        <v>1010</v>
      </c>
      <c r="K52" s="1">
        <v>44.7</v>
      </c>
      <c r="L52" s="1" t="s">
        <v>64</v>
      </c>
    </row>
    <row r="53" spans="1:12" x14ac:dyDescent="0.25">
      <c r="A53" t="s">
        <v>12</v>
      </c>
      <c r="B53" s="1">
        <v>4</v>
      </c>
      <c r="C53" s="1">
        <v>7</v>
      </c>
      <c r="D53" s="1">
        <v>10.09</v>
      </c>
      <c r="E53" s="1">
        <v>12.5</v>
      </c>
      <c r="F53" s="1" t="s">
        <v>13</v>
      </c>
      <c r="G53" s="2">
        <v>45482</v>
      </c>
      <c r="H53" s="2">
        <v>0.43853839120370369</v>
      </c>
      <c r="I53" s="1">
        <v>52</v>
      </c>
      <c r="J53" s="1">
        <v>995</v>
      </c>
      <c r="K53" s="1">
        <v>44.6</v>
      </c>
      <c r="L53" s="1" t="s">
        <v>65</v>
      </c>
    </row>
    <row r="54" spans="1:12" x14ac:dyDescent="0.25">
      <c r="A54" t="s">
        <v>12</v>
      </c>
      <c r="B54" s="1">
        <v>5</v>
      </c>
      <c r="C54" s="1">
        <v>7</v>
      </c>
      <c r="D54" s="1">
        <v>13.08</v>
      </c>
      <c r="E54" s="1">
        <v>13.2</v>
      </c>
      <c r="F54" s="1" t="s">
        <v>13</v>
      </c>
      <c r="G54" s="2">
        <v>45482</v>
      </c>
      <c r="H54" s="2">
        <v>0.43914224537037033</v>
      </c>
      <c r="I54" s="1">
        <v>53</v>
      </c>
      <c r="J54" s="1">
        <v>1037</v>
      </c>
      <c r="K54" s="1">
        <v>44.7</v>
      </c>
      <c r="L54" s="1" t="s">
        <v>66</v>
      </c>
    </row>
    <row r="55" spans="1:12" x14ac:dyDescent="0.25">
      <c r="A55" t="s">
        <v>12</v>
      </c>
      <c r="B55" s="1">
        <v>6</v>
      </c>
      <c r="C55" s="1">
        <v>7</v>
      </c>
      <c r="D55" s="1">
        <v>13.17</v>
      </c>
      <c r="E55" s="1">
        <v>13.1</v>
      </c>
      <c r="F55" s="1" t="s">
        <v>13</v>
      </c>
      <c r="G55" s="2">
        <v>45482</v>
      </c>
      <c r="H55" s="2">
        <v>0.43976061342592593</v>
      </c>
      <c r="I55" s="1">
        <v>54</v>
      </c>
      <c r="J55" s="1">
        <v>1032</v>
      </c>
      <c r="K55" s="1">
        <v>45</v>
      </c>
      <c r="L55" s="1" t="s">
        <v>67</v>
      </c>
    </row>
    <row r="56" spans="1:12" x14ac:dyDescent="0.25">
      <c r="A56" t="s">
        <v>12</v>
      </c>
      <c r="B56" s="1">
        <v>7</v>
      </c>
      <c r="C56" s="1">
        <v>7</v>
      </c>
      <c r="D56" s="1">
        <v>9.9</v>
      </c>
      <c r="E56" s="1">
        <v>12.6</v>
      </c>
      <c r="F56" s="1" t="s">
        <v>13</v>
      </c>
      <c r="G56" s="2">
        <v>45482</v>
      </c>
      <c r="H56" s="2">
        <v>0.44033387731481483</v>
      </c>
      <c r="I56" s="1">
        <v>55</v>
      </c>
      <c r="J56" s="1">
        <v>1005</v>
      </c>
      <c r="K56" s="1">
        <v>45.1</v>
      </c>
      <c r="L56" s="1" t="s">
        <v>68</v>
      </c>
    </row>
    <row r="57" spans="1:12" x14ac:dyDescent="0.25">
      <c r="A57" t="s">
        <v>12</v>
      </c>
      <c r="B57" s="1">
        <v>8</v>
      </c>
      <c r="C57" s="1">
        <v>7</v>
      </c>
      <c r="D57" s="1">
        <v>9.89</v>
      </c>
      <c r="E57" s="1">
        <v>11.9</v>
      </c>
      <c r="F57" s="1" t="s">
        <v>13</v>
      </c>
      <c r="G57" s="2">
        <v>45482</v>
      </c>
      <c r="H57" s="2">
        <v>0.44103017361111108</v>
      </c>
      <c r="I57" s="1">
        <v>56</v>
      </c>
      <c r="J57" s="1">
        <v>960</v>
      </c>
      <c r="K57" s="1">
        <v>45.4</v>
      </c>
      <c r="L57" s="1" t="s">
        <v>69</v>
      </c>
    </row>
    <row r="58" spans="1:12" x14ac:dyDescent="0.25">
      <c r="A58" t="s">
        <v>12</v>
      </c>
      <c r="B58" s="1">
        <v>8</v>
      </c>
      <c r="C58" s="1">
        <v>8</v>
      </c>
      <c r="D58" s="1">
        <v>13.64</v>
      </c>
      <c r="E58" s="1">
        <v>13.1</v>
      </c>
      <c r="F58" s="1" t="s">
        <v>13</v>
      </c>
      <c r="G58" s="2">
        <v>45482</v>
      </c>
      <c r="H58" s="2">
        <v>0.44176172453703699</v>
      </c>
      <c r="I58" s="1">
        <v>57</v>
      </c>
      <c r="J58" s="1">
        <v>1032</v>
      </c>
      <c r="K58" s="1">
        <v>45.2</v>
      </c>
      <c r="L58" s="1" t="s">
        <v>70</v>
      </c>
    </row>
    <row r="59" spans="1:12" x14ac:dyDescent="0.25">
      <c r="A59" t="s">
        <v>12</v>
      </c>
      <c r="B59" s="1">
        <v>7</v>
      </c>
      <c r="C59" s="1">
        <v>8</v>
      </c>
      <c r="D59" s="1">
        <v>13.03</v>
      </c>
      <c r="E59" s="1">
        <v>13.6</v>
      </c>
      <c r="F59" s="1" t="s">
        <v>13</v>
      </c>
      <c r="G59" s="2">
        <v>45482</v>
      </c>
      <c r="H59" s="2">
        <v>0.44238267361111111</v>
      </c>
      <c r="I59" s="1">
        <v>58</v>
      </c>
      <c r="J59" s="1">
        <v>1060</v>
      </c>
      <c r="K59" s="1">
        <v>45</v>
      </c>
      <c r="L59" s="1" t="s">
        <v>71</v>
      </c>
    </row>
    <row r="60" spans="1:12" x14ac:dyDescent="0.25">
      <c r="A60" t="s">
        <v>12</v>
      </c>
      <c r="B60" s="1">
        <v>6</v>
      </c>
      <c r="C60" s="1">
        <v>8</v>
      </c>
      <c r="D60" s="1">
        <v>11.9</v>
      </c>
      <c r="E60" s="1">
        <v>12</v>
      </c>
      <c r="F60" s="1" t="s">
        <v>13</v>
      </c>
      <c r="G60" s="2">
        <v>45482</v>
      </c>
      <c r="H60" s="2">
        <v>0.44297311342592594</v>
      </c>
      <c r="I60" s="1">
        <v>59</v>
      </c>
      <c r="J60" s="1">
        <v>966</v>
      </c>
      <c r="K60" s="1">
        <v>45</v>
      </c>
      <c r="L60" s="1" t="s">
        <v>72</v>
      </c>
    </row>
    <row r="61" spans="1:12" x14ac:dyDescent="0.25">
      <c r="A61" t="s">
        <v>12</v>
      </c>
      <c r="B61" s="1">
        <v>5</v>
      </c>
      <c r="C61" s="1">
        <v>8</v>
      </c>
      <c r="D61" s="1">
        <v>12.02</v>
      </c>
      <c r="E61" s="1">
        <v>10.9</v>
      </c>
      <c r="F61" s="1" t="s">
        <v>13</v>
      </c>
      <c r="G61" s="2">
        <v>45482</v>
      </c>
      <c r="H61" s="2">
        <v>0.44369105324074076</v>
      </c>
      <c r="I61" s="1">
        <v>60</v>
      </c>
      <c r="J61" s="1">
        <v>889</v>
      </c>
      <c r="K61" s="1">
        <v>45</v>
      </c>
      <c r="L61" s="1" t="s">
        <v>73</v>
      </c>
    </row>
    <row r="62" spans="1:12" x14ac:dyDescent="0.25">
      <c r="A62" t="s">
        <v>12</v>
      </c>
      <c r="B62" s="1">
        <v>4</v>
      </c>
      <c r="C62" s="1">
        <v>8</v>
      </c>
      <c r="D62" s="1">
        <v>7.94</v>
      </c>
      <c r="E62" s="1">
        <v>12.7</v>
      </c>
      <c r="F62" s="1" t="s">
        <v>13</v>
      </c>
      <c r="G62" s="2">
        <v>45482</v>
      </c>
      <c r="H62" s="2">
        <v>0.44419487268518515</v>
      </c>
      <c r="I62" s="1">
        <v>61</v>
      </c>
      <c r="J62" s="1">
        <v>1009</v>
      </c>
      <c r="K62" s="1">
        <v>44.7</v>
      </c>
      <c r="L62" s="1" t="s">
        <v>74</v>
      </c>
    </row>
    <row r="63" spans="1:12" x14ac:dyDescent="0.25">
      <c r="A63" t="s">
        <v>12</v>
      </c>
      <c r="B63" s="1">
        <v>3</v>
      </c>
      <c r="C63" s="1">
        <v>8</v>
      </c>
      <c r="D63" s="1">
        <v>6.42</v>
      </c>
      <c r="E63" s="1">
        <v>12.8</v>
      </c>
      <c r="F63" s="1" t="s">
        <v>13</v>
      </c>
      <c r="G63" s="2">
        <v>45482</v>
      </c>
      <c r="H63" s="2">
        <v>0.44496114583333329</v>
      </c>
      <c r="I63" s="1">
        <v>62</v>
      </c>
      <c r="J63" s="1">
        <v>1013</v>
      </c>
      <c r="K63" s="1">
        <v>45.1</v>
      </c>
      <c r="L63" s="1" t="s">
        <v>75</v>
      </c>
    </row>
    <row r="64" spans="1:12" x14ac:dyDescent="0.25">
      <c r="A64" t="s">
        <v>12</v>
      </c>
      <c r="B64" s="1">
        <v>2</v>
      </c>
      <c r="C64" s="1">
        <v>8</v>
      </c>
      <c r="D64" s="1">
        <v>8.65</v>
      </c>
      <c r="E64" s="1">
        <v>12.9</v>
      </c>
      <c r="F64" s="1" t="s">
        <v>13</v>
      </c>
      <c r="G64" s="2">
        <v>45482</v>
      </c>
      <c r="H64" s="2">
        <v>0.4456440162037037</v>
      </c>
      <c r="I64" s="1">
        <v>63</v>
      </c>
      <c r="J64" s="1">
        <v>1022</v>
      </c>
      <c r="K64" s="1">
        <v>45.5</v>
      </c>
      <c r="L64" s="1" t="s">
        <v>76</v>
      </c>
    </row>
    <row r="65" spans="1:12" x14ac:dyDescent="0.25">
      <c r="A65" t="s">
        <v>12</v>
      </c>
      <c r="B65" s="1">
        <v>1</v>
      </c>
      <c r="C65" s="1">
        <v>8</v>
      </c>
      <c r="D65" s="1">
        <v>7.2</v>
      </c>
      <c r="E65" s="1">
        <v>12.9</v>
      </c>
      <c r="F65" s="1" t="s">
        <v>13</v>
      </c>
      <c r="G65" s="2">
        <v>45482</v>
      </c>
      <c r="H65" s="2">
        <v>0.44620543981481481</v>
      </c>
      <c r="I65" s="1">
        <v>64</v>
      </c>
      <c r="J65" s="1">
        <v>1022</v>
      </c>
      <c r="K65" s="1">
        <v>45.4</v>
      </c>
      <c r="L65" s="1" t="s">
        <v>77</v>
      </c>
    </row>
    <row r="66" spans="1:12" x14ac:dyDescent="0.25">
      <c r="A66" t="s">
        <v>12</v>
      </c>
      <c r="B66" s="1">
        <v>1</v>
      </c>
      <c r="C66" s="1">
        <v>9</v>
      </c>
      <c r="D66" s="1">
        <v>8.1999999999999993</v>
      </c>
      <c r="E66" s="1">
        <v>12.7</v>
      </c>
      <c r="F66" s="1" t="s">
        <v>13</v>
      </c>
      <c r="G66" s="2">
        <v>45482</v>
      </c>
      <c r="H66" s="2">
        <v>0.44875474537037036</v>
      </c>
      <c r="I66" s="1">
        <v>65</v>
      </c>
      <c r="J66" s="1">
        <v>1028</v>
      </c>
      <c r="K66" s="1">
        <v>48.5</v>
      </c>
      <c r="L66" s="1" t="s">
        <v>78</v>
      </c>
    </row>
    <row r="67" spans="1:12" x14ac:dyDescent="0.25">
      <c r="A67" t="s">
        <v>12</v>
      </c>
      <c r="B67" s="1">
        <v>2</v>
      </c>
      <c r="C67" s="1">
        <v>9</v>
      </c>
      <c r="D67" s="1">
        <v>10.220000000000001</v>
      </c>
      <c r="E67" s="1">
        <v>12.3</v>
      </c>
      <c r="F67" s="1" t="s">
        <v>13</v>
      </c>
      <c r="G67" s="2">
        <v>45482</v>
      </c>
      <c r="H67" s="2">
        <v>0.44949980324074074</v>
      </c>
      <c r="I67" s="1">
        <v>66</v>
      </c>
      <c r="J67" s="1">
        <v>998</v>
      </c>
      <c r="K67" s="1">
        <v>47.4</v>
      </c>
      <c r="L67" s="1" t="s">
        <v>79</v>
      </c>
    </row>
    <row r="68" spans="1:12" x14ac:dyDescent="0.25">
      <c r="A68" t="s">
        <v>12</v>
      </c>
      <c r="B68" s="1">
        <v>3</v>
      </c>
      <c r="C68" s="1">
        <v>9</v>
      </c>
      <c r="D68" s="1">
        <v>8.1199999999999992</v>
      </c>
      <c r="E68" s="1">
        <v>12.9</v>
      </c>
      <c r="F68" s="1" t="s">
        <v>13</v>
      </c>
      <c r="G68" s="2">
        <v>45482</v>
      </c>
      <c r="H68" s="2">
        <v>0.4499868865740741</v>
      </c>
      <c r="I68" s="1">
        <v>67</v>
      </c>
      <c r="J68" s="1">
        <v>1028</v>
      </c>
      <c r="K68" s="1">
        <v>46.7</v>
      </c>
      <c r="L68" s="1" t="s">
        <v>80</v>
      </c>
    </row>
    <row r="69" spans="1:12" x14ac:dyDescent="0.25">
      <c r="A69" t="s">
        <v>12</v>
      </c>
      <c r="B69" s="1">
        <v>4</v>
      </c>
      <c r="C69" s="1">
        <v>9</v>
      </c>
      <c r="D69" s="1">
        <v>10.38</v>
      </c>
      <c r="E69" s="1">
        <v>13.2</v>
      </c>
      <c r="F69" s="1" t="s">
        <v>13</v>
      </c>
      <c r="G69" s="2">
        <v>45482</v>
      </c>
      <c r="H69" s="2">
        <v>0.45059290509259259</v>
      </c>
      <c r="I69" s="1">
        <v>68</v>
      </c>
      <c r="J69" s="1">
        <v>1047</v>
      </c>
      <c r="K69" s="1">
        <v>46.2</v>
      </c>
      <c r="L69" s="1" t="s">
        <v>81</v>
      </c>
    </row>
    <row r="70" spans="1:12" x14ac:dyDescent="0.25">
      <c r="A70" t="s">
        <v>12</v>
      </c>
      <c r="B70" s="1">
        <v>5</v>
      </c>
      <c r="C70" s="1">
        <v>9</v>
      </c>
      <c r="D70" s="1">
        <v>12.31</v>
      </c>
      <c r="E70" s="1">
        <v>12.4</v>
      </c>
      <c r="F70" s="1" t="s">
        <v>13</v>
      </c>
      <c r="G70" s="2">
        <v>45482</v>
      </c>
      <c r="H70" s="2">
        <v>0.4511662847222222</v>
      </c>
      <c r="I70" s="1">
        <v>69</v>
      </c>
      <c r="J70" s="1">
        <v>996</v>
      </c>
      <c r="K70" s="1">
        <v>45.6</v>
      </c>
      <c r="L70" s="1" t="s">
        <v>82</v>
      </c>
    </row>
    <row r="71" spans="1:12" x14ac:dyDescent="0.25">
      <c r="A71" t="s">
        <v>12</v>
      </c>
      <c r="B71" s="1">
        <v>6</v>
      </c>
      <c r="C71" s="1">
        <v>9</v>
      </c>
      <c r="D71" s="1">
        <v>12.12</v>
      </c>
      <c r="E71" s="1">
        <v>12.1</v>
      </c>
      <c r="F71" s="1" t="s">
        <v>13</v>
      </c>
      <c r="G71" s="2">
        <v>45482</v>
      </c>
      <c r="H71" s="2">
        <v>0.45184236111111115</v>
      </c>
      <c r="I71" s="1">
        <v>70</v>
      </c>
      <c r="J71" s="1">
        <v>975</v>
      </c>
      <c r="K71" s="1">
        <v>45.8</v>
      </c>
      <c r="L71" s="1" t="s">
        <v>83</v>
      </c>
    </row>
    <row r="72" spans="1:12" x14ac:dyDescent="0.25">
      <c r="A72" t="s">
        <v>12</v>
      </c>
      <c r="B72" s="1">
        <v>7</v>
      </c>
      <c r="C72" s="1">
        <v>9</v>
      </c>
      <c r="D72" s="1">
        <v>11.73</v>
      </c>
      <c r="E72" s="1">
        <v>11.4</v>
      </c>
      <c r="F72" s="1" t="s">
        <v>13</v>
      </c>
      <c r="G72" s="2">
        <v>45482</v>
      </c>
      <c r="H72" s="2">
        <v>0.45241203703703703</v>
      </c>
      <c r="I72" s="1">
        <v>71</v>
      </c>
      <c r="J72" s="1">
        <v>929</v>
      </c>
      <c r="K72" s="1">
        <v>45.8</v>
      </c>
      <c r="L72" s="1" t="s">
        <v>84</v>
      </c>
    </row>
    <row r="73" spans="1:12" x14ac:dyDescent="0.25">
      <c r="A73" t="s">
        <v>12</v>
      </c>
      <c r="B73" s="1">
        <v>8</v>
      </c>
      <c r="C73" s="1">
        <v>9</v>
      </c>
      <c r="D73" s="1">
        <v>12.04</v>
      </c>
      <c r="E73" s="1">
        <v>12.3</v>
      </c>
      <c r="F73" s="1" t="s">
        <v>13</v>
      </c>
      <c r="G73" s="2">
        <v>45482</v>
      </c>
      <c r="H73" s="2">
        <v>0.45299143518518514</v>
      </c>
      <c r="I73" s="1">
        <v>72</v>
      </c>
      <c r="J73" s="1">
        <v>990</v>
      </c>
      <c r="K73" s="1">
        <v>45.6</v>
      </c>
      <c r="L73" s="1" t="s">
        <v>85</v>
      </c>
    </row>
    <row r="74" spans="1:12" x14ac:dyDescent="0.25">
      <c r="A74" t="s">
        <v>12</v>
      </c>
      <c r="B74" s="1">
        <v>8</v>
      </c>
      <c r="C74" s="1">
        <v>10</v>
      </c>
      <c r="D74" s="1">
        <v>10.43</v>
      </c>
      <c r="E74" s="1">
        <v>11.6</v>
      </c>
      <c r="F74" s="1" t="s">
        <v>13</v>
      </c>
      <c r="G74" s="2">
        <v>45482</v>
      </c>
      <c r="H74" s="2">
        <v>0.45385755787037035</v>
      </c>
      <c r="I74" s="1">
        <v>73</v>
      </c>
      <c r="J74" s="1">
        <v>947</v>
      </c>
      <c r="K74" s="1">
        <v>45.9</v>
      </c>
      <c r="L74" s="1" t="s">
        <v>86</v>
      </c>
    </row>
    <row r="75" spans="1:12" x14ac:dyDescent="0.25">
      <c r="A75" t="s">
        <v>12</v>
      </c>
      <c r="B75" s="1">
        <v>7</v>
      </c>
      <c r="C75" s="1">
        <v>10</v>
      </c>
      <c r="D75" s="1">
        <v>9.89</v>
      </c>
      <c r="E75" s="1">
        <v>11.8</v>
      </c>
      <c r="F75" s="1" t="s">
        <v>13</v>
      </c>
      <c r="G75" s="2">
        <v>45482</v>
      </c>
      <c r="H75" s="2">
        <v>0.45460856481481482</v>
      </c>
      <c r="I75" s="1">
        <v>74</v>
      </c>
      <c r="J75" s="1">
        <v>956</v>
      </c>
      <c r="K75" s="1">
        <v>45.9</v>
      </c>
      <c r="L75" s="1" t="s">
        <v>87</v>
      </c>
    </row>
    <row r="76" spans="1:12" x14ac:dyDescent="0.25">
      <c r="A76" t="s">
        <v>12</v>
      </c>
      <c r="B76" s="1">
        <v>6</v>
      </c>
      <c r="C76" s="1">
        <v>10</v>
      </c>
      <c r="D76" s="1">
        <v>12.89</v>
      </c>
      <c r="E76" s="1">
        <v>12.9</v>
      </c>
      <c r="F76" s="1" t="s">
        <v>13</v>
      </c>
      <c r="G76" s="2">
        <v>45482</v>
      </c>
      <c r="H76" s="2">
        <v>0.45516234953703705</v>
      </c>
      <c r="I76" s="1">
        <v>75</v>
      </c>
      <c r="J76" s="1">
        <v>1024</v>
      </c>
      <c r="K76" s="1">
        <v>45.9</v>
      </c>
      <c r="L76" s="1" t="s">
        <v>88</v>
      </c>
    </row>
    <row r="77" spans="1:12" x14ac:dyDescent="0.25">
      <c r="A77" t="s">
        <v>12</v>
      </c>
      <c r="B77" s="1">
        <v>5</v>
      </c>
      <c r="C77" s="1">
        <v>10</v>
      </c>
      <c r="D77" s="1">
        <v>13.28</v>
      </c>
      <c r="E77" s="1">
        <v>12.9</v>
      </c>
      <c r="F77" s="1" t="s">
        <v>13</v>
      </c>
      <c r="G77" s="2">
        <v>45482</v>
      </c>
      <c r="H77" s="2">
        <v>0.45575833333333332</v>
      </c>
      <c r="I77" s="1">
        <v>76</v>
      </c>
      <c r="J77" s="1">
        <v>1023</v>
      </c>
      <c r="K77" s="1">
        <v>45.6</v>
      </c>
      <c r="L77" s="1" t="s">
        <v>89</v>
      </c>
    </row>
    <row r="78" spans="1:12" x14ac:dyDescent="0.25">
      <c r="A78" t="s">
        <v>12</v>
      </c>
      <c r="B78" s="1">
        <v>4</v>
      </c>
      <c r="C78" s="1">
        <v>10</v>
      </c>
      <c r="D78" s="1">
        <v>9.14</v>
      </c>
      <c r="E78" s="1">
        <v>12.2</v>
      </c>
      <c r="F78" s="1" t="s">
        <v>13</v>
      </c>
      <c r="G78" s="2">
        <v>45482</v>
      </c>
      <c r="H78" s="2">
        <v>0.45631168981481479</v>
      </c>
      <c r="I78" s="1">
        <v>77</v>
      </c>
      <c r="J78" s="1">
        <v>985</v>
      </c>
      <c r="K78" s="1">
        <v>45.8</v>
      </c>
      <c r="L78" s="1" t="s">
        <v>90</v>
      </c>
    </row>
    <row r="79" spans="1:12" x14ac:dyDescent="0.25">
      <c r="A79" t="s">
        <v>12</v>
      </c>
      <c r="B79" s="1">
        <v>3</v>
      </c>
      <c r="C79" s="1">
        <v>10</v>
      </c>
      <c r="D79" s="1">
        <v>7.2</v>
      </c>
      <c r="E79" s="1">
        <v>12.3</v>
      </c>
      <c r="F79" s="1" t="s">
        <v>13</v>
      </c>
      <c r="G79" s="2">
        <v>45482</v>
      </c>
      <c r="H79" s="2">
        <v>0.45725998842592591</v>
      </c>
      <c r="I79" s="1">
        <v>78</v>
      </c>
      <c r="J79" s="1">
        <v>988</v>
      </c>
      <c r="K79" s="1">
        <v>45.2</v>
      </c>
      <c r="L79" s="1" t="s">
        <v>91</v>
      </c>
    </row>
    <row r="80" spans="1:12" x14ac:dyDescent="0.25">
      <c r="A80" t="s">
        <v>12</v>
      </c>
      <c r="B80" s="1">
        <v>2</v>
      </c>
      <c r="C80" s="1">
        <v>10</v>
      </c>
      <c r="D80" s="1">
        <v>9.52</v>
      </c>
      <c r="E80" s="1">
        <v>12.5</v>
      </c>
      <c r="F80" s="1" t="s">
        <v>13</v>
      </c>
      <c r="G80" s="2">
        <v>45482</v>
      </c>
      <c r="H80" s="2">
        <v>0.45790065972222221</v>
      </c>
      <c r="I80" s="1">
        <v>79</v>
      </c>
      <c r="J80" s="1">
        <v>1002</v>
      </c>
      <c r="K80" s="1">
        <v>46.3</v>
      </c>
      <c r="L80" s="1" t="s">
        <v>92</v>
      </c>
    </row>
    <row r="81" spans="1:12" x14ac:dyDescent="0.25">
      <c r="A81" t="s">
        <v>12</v>
      </c>
      <c r="B81" s="1">
        <v>1</v>
      </c>
      <c r="C81" s="1">
        <v>10</v>
      </c>
      <c r="D81" s="1">
        <v>7.58</v>
      </c>
      <c r="E81" s="1">
        <v>11</v>
      </c>
      <c r="F81" s="1" t="s">
        <v>13</v>
      </c>
      <c r="G81" s="2">
        <v>45482</v>
      </c>
      <c r="H81" s="2">
        <v>0.45871994212962963</v>
      </c>
      <c r="I81" s="1">
        <v>80</v>
      </c>
      <c r="J81" s="1">
        <v>910</v>
      </c>
      <c r="K81" s="1">
        <v>46.6</v>
      </c>
      <c r="L81" s="1" t="s">
        <v>93</v>
      </c>
    </row>
    <row r="82" spans="1:12" x14ac:dyDescent="0.25">
      <c r="A82" t="s">
        <v>12</v>
      </c>
      <c r="B82" s="1">
        <v>1</v>
      </c>
      <c r="C82" s="1">
        <v>11</v>
      </c>
      <c r="D82" s="1">
        <v>7.32</v>
      </c>
      <c r="E82" s="1">
        <v>12.8</v>
      </c>
      <c r="F82" s="1" t="s">
        <v>13</v>
      </c>
      <c r="G82" s="2">
        <v>45482</v>
      </c>
      <c r="H82" s="2">
        <v>0.46567276620370368</v>
      </c>
      <c r="I82" s="1">
        <v>81</v>
      </c>
      <c r="J82" s="1">
        <v>1037</v>
      </c>
      <c r="K82" s="1">
        <v>48.8</v>
      </c>
      <c r="L82" s="1" t="s">
        <v>94</v>
      </c>
    </row>
    <row r="83" spans="1:12" x14ac:dyDescent="0.25">
      <c r="A83" t="s">
        <v>12</v>
      </c>
      <c r="B83" s="1">
        <v>2</v>
      </c>
      <c r="C83" s="1">
        <v>11</v>
      </c>
      <c r="D83" s="1">
        <v>10.32</v>
      </c>
      <c r="E83" s="1">
        <v>13</v>
      </c>
      <c r="F83" s="1" t="s">
        <v>13</v>
      </c>
      <c r="G83" s="2">
        <v>45482</v>
      </c>
      <c r="H83" s="2">
        <v>0.46686091435185184</v>
      </c>
      <c r="I83" s="1">
        <v>82</v>
      </c>
      <c r="J83" s="1">
        <v>1039</v>
      </c>
      <c r="K83" s="1">
        <v>47.4</v>
      </c>
      <c r="L83" s="1" t="s">
        <v>95</v>
      </c>
    </row>
    <row r="84" spans="1:12" x14ac:dyDescent="0.25">
      <c r="A84" t="s">
        <v>12</v>
      </c>
      <c r="B84" s="1">
        <v>3</v>
      </c>
      <c r="C84" s="1">
        <v>11</v>
      </c>
      <c r="D84" s="1">
        <v>7.4</v>
      </c>
      <c r="E84" s="1">
        <v>13</v>
      </c>
      <c r="F84" s="1" t="s">
        <v>13</v>
      </c>
      <c r="G84" s="2">
        <v>45482</v>
      </c>
      <c r="H84" s="2">
        <v>0.46762230324074072</v>
      </c>
      <c r="I84" s="1">
        <v>83</v>
      </c>
      <c r="J84" s="1">
        <v>1035</v>
      </c>
      <c r="K84" s="1">
        <v>47</v>
      </c>
      <c r="L84" s="1" t="s">
        <v>96</v>
      </c>
    </row>
    <row r="85" spans="1:12" x14ac:dyDescent="0.25">
      <c r="A85" t="s">
        <v>12</v>
      </c>
      <c r="B85" s="1">
        <v>4</v>
      </c>
      <c r="C85" s="1">
        <v>11</v>
      </c>
      <c r="D85" s="1">
        <v>9.57</v>
      </c>
      <c r="E85" s="1">
        <v>13</v>
      </c>
      <c r="F85" s="1" t="s">
        <v>13</v>
      </c>
      <c r="G85" s="2">
        <v>45482</v>
      </c>
      <c r="H85" s="2">
        <v>0.46820859953703703</v>
      </c>
      <c r="I85" s="1">
        <v>84</v>
      </c>
      <c r="J85" s="1">
        <v>1035</v>
      </c>
      <c r="K85" s="1">
        <v>46.7</v>
      </c>
      <c r="L85" s="1" t="s">
        <v>97</v>
      </c>
    </row>
    <row r="86" spans="1:12" x14ac:dyDescent="0.25">
      <c r="A86" t="s">
        <v>12</v>
      </c>
      <c r="B86" s="1">
        <v>5</v>
      </c>
      <c r="C86" s="1">
        <v>11</v>
      </c>
      <c r="D86" s="1">
        <v>12.25</v>
      </c>
      <c r="E86" s="1">
        <v>12.5</v>
      </c>
      <c r="F86" s="1" t="s">
        <v>13</v>
      </c>
      <c r="G86" s="2">
        <v>45482</v>
      </c>
      <c r="H86" s="2">
        <v>0.46889062500000001</v>
      </c>
      <c r="I86" s="1">
        <v>85</v>
      </c>
      <c r="J86" s="1">
        <v>1007</v>
      </c>
      <c r="K86" s="1">
        <v>46.9</v>
      </c>
      <c r="L86" s="1" t="s">
        <v>98</v>
      </c>
    </row>
    <row r="87" spans="1:12" x14ac:dyDescent="0.25">
      <c r="A87" t="s">
        <v>12</v>
      </c>
      <c r="B87" s="1">
        <v>6</v>
      </c>
      <c r="C87" s="1">
        <v>11</v>
      </c>
      <c r="D87" s="1">
        <v>11.58</v>
      </c>
      <c r="E87" s="1">
        <v>12.6</v>
      </c>
      <c r="F87" s="1" t="s">
        <v>13</v>
      </c>
      <c r="G87" s="2">
        <v>45482</v>
      </c>
      <c r="H87" s="2">
        <v>0.46962195601851853</v>
      </c>
      <c r="I87" s="1">
        <v>86</v>
      </c>
      <c r="J87" s="1">
        <v>1007</v>
      </c>
      <c r="K87" s="1">
        <v>46.2</v>
      </c>
      <c r="L87" s="1" t="s">
        <v>99</v>
      </c>
    </row>
    <row r="88" spans="1:12" x14ac:dyDescent="0.25">
      <c r="A88" t="s">
        <v>12</v>
      </c>
      <c r="B88" s="1">
        <v>7</v>
      </c>
      <c r="C88" s="1">
        <v>11</v>
      </c>
      <c r="D88" s="1">
        <v>4.38</v>
      </c>
      <c r="E88" s="1">
        <v>10.5</v>
      </c>
      <c r="F88" s="1" t="s">
        <v>13</v>
      </c>
      <c r="G88" s="2">
        <v>45482</v>
      </c>
      <c r="H88" s="2">
        <v>0.4702940625</v>
      </c>
      <c r="I88" s="1">
        <v>87</v>
      </c>
      <c r="J88" s="1">
        <v>873</v>
      </c>
      <c r="K88" s="1">
        <v>46.5</v>
      </c>
      <c r="L88" s="1" t="s">
        <v>100</v>
      </c>
    </row>
    <row r="89" spans="1:12" x14ac:dyDescent="0.25">
      <c r="A89" t="s">
        <v>12</v>
      </c>
      <c r="B89" s="1">
        <v>8</v>
      </c>
      <c r="C89" s="1">
        <v>11</v>
      </c>
      <c r="D89" s="1">
        <v>4.84</v>
      </c>
      <c r="E89" s="1">
        <v>11.5</v>
      </c>
      <c r="F89" s="1" t="s">
        <v>13</v>
      </c>
      <c r="G89" s="2">
        <v>45482</v>
      </c>
      <c r="H89" s="2">
        <v>0.47101006944444446</v>
      </c>
      <c r="I89" s="1">
        <v>88</v>
      </c>
      <c r="J89" s="1">
        <v>940</v>
      </c>
      <c r="K89" s="1">
        <v>46.5</v>
      </c>
      <c r="L89" s="1" t="s">
        <v>101</v>
      </c>
    </row>
    <row r="90" spans="1:12" x14ac:dyDescent="0.25">
      <c r="A90" t="s">
        <v>12</v>
      </c>
      <c r="B90" s="1">
        <v>8</v>
      </c>
      <c r="C90" s="1">
        <v>12</v>
      </c>
      <c r="D90" s="1">
        <v>11.38</v>
      </c>
      <c r="E90" s="1">
        <v>12.2</v>
      </c>
      <c r="F90" s="1" t="s">
        <v>13</v>
      </c>
      <c r="G90" s="2">
        <v>45482</v>
      </c>
      <c r="H90" s="2">
        <v>0.47168692129629625</v>
      </c>
      <c r="I90" s="1">
        <v>89</v>
      </c>
      <c r="J90" s="1">
        <v>985</v>
      </c>
      <c r="K90" s="1">
        <v>46.7</v>
      </c>
      <c r="L90" s="1" t="s">
        <v>102</v>
      </c>
    </row>
    <row r="91" spans="1:12" x14ac:dyDescent="0.25">
      <c r="A91" t="s">
        <v>12</v>
      </c>
      <c r="B91" s="1">
        <v>7</v>
      </c>
      <c r="C91" s="1">
        <v>12</v>
      </c>
      <c r="D91" s="1">
        <v>10.3</v>
      </c>
      <c r="E91" s="1">
        <v>11.9</v>
      </c>
      <c r="F91" s="1" t="s">
        <v>13</v>
      </c>
      <c r="G91" s="2">
        <v>45482</v>
      </c>
      <c r="H91" s="2">
        <v>0.47238827546296297</v>
      </c>
      <c r="I91" s="1">
        <v>90</v>
      </c>
      <c r="J91" s="1">
        <v>969</v>
      </c>
      <c r="K91" s="1">
        <v>46.5</v>
      </c>
      <c r="L91" s="1" t="s">
        <v>103</v>
      </c>
    </row>
    <row r="92" spans="1:12" x14ac:dyDescent="0.25">
      <c r="A92" t="s">
        <v>12</v>
      </c>
      <c r="B92" s="1">
        <v>6</v>
      </c>
      <c r="C92" s="1">
        <v>12</v>
      </c>
      <c r="D92" s="1">
        <v>12.32</v>
      </c>
      <c r="E92" s="1">
        <v>12.1</v>
      </c>
      <c r="F92" s="1" t="s">
        <v>13</v>
      </c>
      <c r="G92" s="2">
        <v>45482</v>
      </c>
      <c r="H92" s="2">
        <v>0.47311697916666667</v>
      </c>
      <c r="I92" s="1">
        <v>91</v>
      </c>
      <c r="J92" s="1">
        <v>974</v>
      </c>
      <c r="K92" s="1">
        <v>45.9</v>
      </c>
      <c r="L92" s="1" t="s">
        <v>104</v>
      </c>
    </row>
    <row r="93" spans="1:12" x14ac:dyDescent="0.25">
      <c r="A93" t="s">
        <v>12</v>
      </c>
      <c r="B93" s="1">
        <v>5</v>
      </c>
      <c r="C93" s="1">
        <v>12</v>
      </c>
      <c r="D93" s="1">
        <v>12.79</v>
      </c>
      <c r="E93" s="1">
        <v>12.1</v>
      </c>
      <c r="F93" s="1" t="s">
        <v>13</v>
      </c>
      <c r="G93" s="2">
        <v>45482</v>
      </c>
      <c r="H93" s="2">
        <v>0.47390702546296293</v>
      </c>
      <c r="I93" s="1">
        <v>92</v>
      </c>
      <c r="J93" s="1">
        <v>975</v>
      </c>
      <c r="K93" s="1">
        <v>45.9</v>
      </c>
      <c r="L93" s="1" t="s">
        <v>105</v>
      </c>
    </row>
    <row r="94" spans="1:12" x14ac:dyDescent="0.25">
      <c r="A94" t="s">
        <v>12</v>
      </c>
      <c r="B94" s="1">
        <v>4</v>
      </c>
      <c r="C94" s="1">
        <v>12</v>
      </c>
      <c r="D94" s="1">
        <v>8.0299999999999994</v>
      </c>
      <c r="E94" s="1">
        <v>12.2</v>
      </c>
      <c r="F94" s="1" t="s">
        <v>13</v>
      </c>
      <c r="G94" s="2">
        <v>45482</v>
      </c>
      <c r="H94" s="2">
        <v>0.47445309027777777</v>
      </c>
      <c r="I94" s="1">
        <v>93</v>
      </c>
      <c r="J94" s="1">
        <v>987</v>
      </c>
      <c r="K94" s="1">
        <v>46.2</v>
      </c>
      <c r="L94" s="1" t="s">
        <v>106</v>
      </c>
    </row>
    <row r="95" spans="1:12" x14ac:dyDescent="0.25">
      <c r="A95" t="s">
        <v>12</v>
      </c>
      <c r="B95" s="1">
        <v>3</v>
      </c>
      <c r="C95" s="1">
        <v>12</v>
      </c>
      <c r="D95" s="1">
        <v>6.81</v>
      </c>
      <c r="E95" s="1">
        <v>12.1</v>
      </c>
      <c r="F95" s="1" t="s">
        <v>13</v>
      </c>
      <c r="G95" s="2">
        <v>45482</v>
      </c>
      <c r="H95" s="2">
        <v>0.47506234953703708</v>
      </c>
      <c r="I95" s="1">
        <v>94</v>
      </c>
      <c r="J95" s="1">
        <v>981</v>
      </c>
      <c r="K95" s="1">
        <v>46.5</v>
      </c>
      <c r="L95" s="1" t="s">
        <v>107</v>
      </c>
    </row>
    <row r="96" spans="1:12" x14ac:dyDescent="0.25">
      <c r="A96" t="s">
        <v>12</v>
      </c>
      <c r="B96" s="1">
        <v>2</v>
      </c>
      <c r="C96" s="1">
        <v>12</v>
      </c>
      <c r="D96" s="1">
        <v>10.02</v>
      </c>
      <c r="E96" s="1">
        <v>12.7</v>
      </c>
      <c r="F96" s="1" t="s">
        <v>13</v>
      </c>
      <c r="G96" s="2">
        <v>45482</v>
      </c>
      <c r="H96" s="2">
        <v>0.47561790509259261</v>
      </c>
      <c r="I96" s="1">
        <v>95</v>
      </c>
      <c r="J96" s="1">
        <v>1015</v>
      </c>
      <c r="K96" s="1">
        <v>46.3</v>
      </c>
      <c r="L96" s="1" t="s">
        <v>108</v>
      </c>
    </row>
    <row r="97" spans="1:12" x14ac:dyDescent="0.25">
      <c r="A97" t="s">
        <v>12</v>
      </c>
      <c r="B97" s="1">
        <v>1</v>
      </c>
      <c r="C97" s="1">
        <v>12</v>
      </c>
      <c r="D97" s="1">
        <v>7.16</v>
      </c>
      <c r="E97" s="1">
        <v>12.6</v>
      </c>
      <c r="F97" s="1" t="s">
        <v>13</v>
      </c>
      <c r="G97" s="2">
        <v>45482</v>
      </c>
      <c r="H97" s="2">
        <v>0.47620123842592593</v>
      </c>
      <c r="I97" s="1">
        <v>96</v>
      </c>
      <c r="J97" s="1">
        <v>1010</v>
      </c>
      <c r="K97" s="1">
        <v>46.3</v>
      </c>
      <c r="L97" s="1" t="s">
        <v>109</v>
      </c>
    </row>
    <row r="98" spans="1:12" x14ac:dyDescent="0.25">
      <c r="A98" t="s">
        <v>12</v>
      </c>
      <c r="B98" s="1">
        <v>1</v>
      </c>
      <c r="C98" s="1">
        <v>13</v>
      </c>
      <c r="D98" s="1">
        <v>6.6</v>
      </c>
      <c r="E98" s="1">
        <v>12.1</v>
      </c>
      <c r="F98" s="1" t="s">
        <v>13</v>
      </c>
      <c r="G98" s="2">
        <v>45482</v>
      </c>
      <c r="H98" s="2">
        <v>0.47902858796296294</v>
      </c>
      <c r="I98" s="1">
        <v>97</v>
      </c>
      <c r="J98" s="1">
        <v>1000</v>
      </c>
      <c r="K98" s="1">
        <v>49.6</v>
      </c>
      <c r="L98" s="1" t="s">
        <v>110</v>
      </c>
    </row>
    <row r="99" spans="1:12" x14ac:dyDescent="0.25">
      <c r="A99" t="s">
        <v>12</v>
      </c>
      <c r="B99" s="1">
        <v>2</v>
      </c>
      <c r="C99" s="1">
        <v>13</v>
      </c>
      <c r="D99" s="1">
        <v>9.4499999999999993</v>
      </c>
      <c r="E99" s="1">
        <v>12.1</v>
      </c>
      <c r="F99" s="1" t="s">
        <v>13</v>
      </c>
      <c r="G99" s="2">
        <v>45482</v>
      </c>
      <c r="H99" s="2">
        <v>0.47982306712962963</v>
      </c>
      <c r="I99" s="1">
        <v>98</v>
      </c>
      <c r="J99" s="1">
        <v>993</v>
      </c>
      <c r="K99" s="1">
        <v>48.5</v>
      </c>
      <c r="L99" s="1" t="s">
        <v>111</v>
      </c>
    </row>
    <row r="100" spans="1:12" x14ac:dyDescent="0.25">
      <c r="A100" t="s">
        <v>12</v>
      </c>
      <c r="B100" s="1">
        <v>3</v>
      </c>
      <c r="C100" s="1">
        <v>13</v>
      </c>
      <c r="D100" s="1">
        <v>6.23</v>
      </c>
      <c r="E100" s="1">
        <v>11.9</v>
      </c>
      <c r="F100" s="1" t="s">
        <v>13</v>
      </c>
      <c r="G100" s="2">
        <v>45482</v>
      </c>
      <c r="H100" s="2">
        <v>0.48137704861111108</v>
      </c>
      <c r="I100" s="1">
        <v>99</v>
      </c>
      <c r="J100" s="1">
        <v>985</v>
      </c>
      <c r="K100" s="1">
        <v>49.6</v>
      </c>
      <c r="L100" s="1" t="s">
        <v>112</v>
      </c>
    </row>
    <row r="101" spans="1:12" x14ac:dyDescent="0.25">
      <c r="A101" t="s">
        <v>12</v>
      </c>
      <c r="B101" s="1">
        <v>4</v>
      </c>
      <c r="C101" s="1">
        <v>13</v>
      </c>
      <c r="D101" s="1">
        <v>7.23</v>
      </c>
      <c r="E101" s="1">
        <v>12</v>
      </c>
      <c r="F101" s="1" t="s">
        <v>13</v>
      </c>
      <c r="G101" s="2">
        <v>45482</v>
      </c>
      <c r="H101" s="2">
        <v>0.48212098379629625</v>
      </c>
      <c r="I101" s="1">
        <v>100</v>
      </c>
      <c r="J101" s="1">
        <v>982</v>
      </c>
      <c r="K101" s="1">
        <v>48.4</v>
      </c>
      <c r="L101" s="1" t="s">
        <v>113</v>
      </c>
    </row>
    <row r="102" spans="1:12" x14ac:dyDescent="0.25">
      <c r="A102" t="s">
        <v>12</v>
      </c>
      <c r="B102" s="1">
        <v>5</v>
      </c>
      <c r="C102" s="1">
        <v>13</v>
      </c>
      <c r="D102" s="1">
        <v>13.13</v>
      </c>
      <c r="E102" s="1">
        <v>12.8</v>
      </c>
      <c r="F102" s="1" t="s">
        <v>13</v>
      </c>
      <c r="G102" s="2">
        <v>45482</v>
      </c>
      <c r="H102" s="2">
        <v>0.48274313657407408</v>
      </c>
      <c r="I102" s="1">
        <v>101</v>
      </c>
      <c r="J102" s="1">
        <v>1029</v>
      </c>
      <c r="K102" s="1">
        <v>48</v>
      </c>
      <c r="L102" s="1" t="s">
        <v>114</v>
      </c>
    </row>
    <row r="103" spans="1:12" x14ac:dyDescent="0.25">
      <c r="A103" t="s">
        <v>12</v>
      </c>
      <c r="B103" s="1">
        <v>6</v>
      </c>
      <c r="C103" s="1">
        <v>13</v>
      </c>
      <c r="D103" s="1">
        <v>13.29</v>
      </c>
      <c r="E103" s="1">
        <v>12.6</v>
      </c>
      <c r="F103" s="1" t="s">
        <v>13</v>
      </c>
      <c r="G103" s="2">
        <v>45482</v>
      </c>
      <c r="H103" s="2">
        <v>0.48340228009259256</v>
      </c>
      <c r="I103" s="1">
        <v>102</v>
      </c>
      <c r="J103" s="1">
        <v>1019</v>
      </c>
      <c r="K103" s="1">
        <v>47.5</v>
      </c>
      <c r="L103" s="1" t="s">
        <v>115</v>
      </c>
    </row>
    <row r="104" spans="1:12" x14ac:dyDescent="0.25">
      <c r="A104" t="s">
        <v>12</v>
      </c>
      <c r="B104" s="1">
        <v>7</v>
      </c>
      <c r="C104" s="1">
        <v>13</v>
      </c>
      <c r="D104" s="1">
        <v>11.39</v>
      </c>
      <c r="E104" s="1">
        <v>12.1</v>
      </c>
      <c r="F104" s="1" t="s">
        <v>13</v>
      </c>
      <c r="G104" s="2">
        <v>45482</v>
      </c>
      <c r="H104" s="2">
        <v>0.48413773148148148</v>
      </c>
      <c r="I104" s="1">
        <v>103</v>
      </c>
      <c r="J104" s="1">
        <v>988</v>
      </c>
      <c r="K104" s="1">
        <v>47.3</v>
      </c>
      <c r="L104" s="1" t="s">
        <v>116</v>
      </c>
    </row>
    <row r="105" spans="1:12" x14ac:dyDescent="0.25">
      <c r="A105" t="s">
        <v>12</v>
      </c>
      <c r="B105" s="1">
        <v>8</v>
      </c>
      <c r="C105" s="1">
        <v>13</v>
      </c>
      <c r="D105" s="1">
        <v>12.31</v>
      </c>
      <c r="E105" s="1">
        <v>11.8</v>
      </c>
      <c r="F105" s="1" t="s">
        <v>13</v>
      </c>
      <c r="G105" s="2">
        <v>45482</v>
      </c>
      <c r="H105" s="2">
        <v>0.48494155092592589</v>
      </c>
      <c r="I105" s="1">
        <v>104</v>
      </c>
      <c r="J105" s="1">
        <v>966</v>
      </c>
      <c r="K105" s="1">
        <v>47.1</v>
      </c>
      <c r="L105" s="1" t="s">
        <v>117</v>
      </c>
    </row>
    <row r="106" spans="1:12" x14ac:dyDescent="0.25">
      <c r="A106" t="s">
        <v>12</v>
      </c>
      <c r="B106" s="1">
        <v>8</v>
      </c>
      <c r="C106" s="1">
        <v>14</v>
      </c>
      <c r="D106" s="1">
        <v>13.04</v>
      </c>
      <c r="E106" s="1">
        <v>12.7</v>
      </c>
      <c r="F106" s="1" t="s">
        <v>13</v>
      </c>
      <c r="G106" s="2">
        <v>45482</v>
      </c>
      <c r="H106" s="2">
        <v>0.48575910879629625</v>
      </c>
      <c r="I106" s="1">
        <v>105</v>
      </c>
      <c r="J106" s="1">
        <v>1022</v>
      </c>
      <c r="K106" s="1">
        <v>47.5</v>
      </c>
      <c r="L106" s="1" t="s">
        <v>118</v>
      </c>
    </row>
    <row r="107" spans="1:12" x14ac:dyDescent="0.25">
      <c r="A107" t="s">
        <v>12</v>
      </c>
      <c r="B107" s="1">
        <v>7</v>
      </c>
      <c r="C107" s="1">
        <v>14</v>
      </c>
      <c r="D107" s="1">
        <v>11.96</v>
      </c>
      <c r="E107" s="1">
        <v>12.9</v>
      </c>
      <c r="F107" s="1" t="s">
        <v>13</v>
      </c>
      <c r="G107" s="2">
        <v>45482</v>
      </c>
      <c r="H107" s="2">
        <v>0.48633151620370368</v>
      </c>
      <c r="I107" s="1">
        <v>106</v>
      </c>
      <c r="J107" s="1">
        <v>1031</v>
      </c>
      <c r="K107" s="1">
        <v>47.1</v>
      </c>
      <c r="L107" s="1" t="s">
        <v>119</v>
      </c>
    </row>
    <row r="108" spans="1:12" x14ac:dyDescent="0.25">
      <c r="A108" t="s">
        <v>12</v>
      </c>
      <c r="B108" s="1">
        <v>6</v>
      </c>
      <c r="C108" s="1">
        <v>14</v>
      </c>
      <c r="D108" s="1">
        <v>11.28</v>
      </c>
      <c r="E108" s="1">
        <v>12.4</v>
      </c>
      <c r="F108" s="1" t="s">
        <v>13</v>
      </c>
      <c r="G108" s="2">
        <v>45482</v>
      </c>
      <c r="H108" s="2">
        <v>0.48705540509259254</v>
      </c>
      <c r="I108" s="1">
        <v>107</v>
      </c>
      <c r="J108" s="1">
        <v>999</v>
      </c>
      <c r="K108" s="1">
        <v>46.9</v>
      </c>
      <c r="L108" s="1" t="s">
        <v>120</v>
      </c>
    </row>
    <row r="109" spans="1:12" x14ac:dyDescent="0.25">
      <c r="A109" t="s">
        <v>12</v>
      </c>
      <c r="B109" s="1">
        <v>5</v>
      </c>
      <c r="C109" s="1">
        <v>14</v>
      </c>
      <c r="D109" s="1">
        <v>10.5</v>
      </c>
      <c r="E109" s="1">
        <v>12</v>
      </c>
      <c r="F109" s="1" t="s">
        <v>13</v>
      </c>
      <c r="G109" s="2">
        <v>45482</v>
      </c>
      <c r="H109" s="2">
        <v>0.48770991898148153</v>
      </c>
      <c r="I109" s="1">
        <v>108</v>
      </c>
      <c r="J109" s="1">
        <v>976</v>
      </c>
      <c r="K109" s="1">
        <v>46.7</v>
      </c>
      <c r="L109" s="1" t="s">
        <v>121</v>
      </c>
    </row>
    <row r="110" spans="1:12" x14ac:dyDescent="0.25">
      <c r="A110" t="s">
        <v>12</v>
      </c>
      <c r="B110" s="1">
        <v>4</v>
      </c>
      <c r="C110" s="1">
        <v>14</v>
      </c>
      <c r="D110" s="1">
        <v>8.3000000000000007</v>
      </c>
      <c r="E110" s="1">
        <v>12.5</v>
      </c>
      <c r="F110" s="1" t="s">
        <v>13</v>
      </c>
      <c r="G110" s="2">
        <v>45482</v>
      </c>
      <c r="H110" s="2">
        <v>0.48835729166666664</v>
      </c>
      <c r="I110" s="1">
        <v>109</v>
      </c>
      <c r="J110" s="1">
        <v>1005</v>
      </c>
      <c r="K110" s="1">
        <v>46.3</v>
      </c>
      <c r="L110" s="1" t="s">
        <v>122</v>
      </c>
    </row>
    <row r="111" spans="1:12" x14ac:dyDescent="0.25">
      <c r="A111" t="s">
        <v>12</v>
      </c>
      <c r="B111" s="1">
        <v>3</v>
      </c>
      <c r="C111" s="1">
        <v>14</v>
      </c>
      <c r="D111" s="1">
        <v>7.6</v>
      </c>
      <c r="E111" s="1">
        <v>12.4</v>
      </c>
      <c r="F111" s="1" t="s">
        <v>13</v>
      </c>
      <c r="G111" s="2">
        <v>45482</v>
      </c>
      <c r="H111" s="2">
        <v>0.48898900462962963</v>
      </c>
      <c r="I111" s="1">
        <v>110</v>
      </c>
      <c r="J111" s="1">
        <v>999</v>
      </c>
      <c r="K111" s="1">
        <v>45.9</v>
      </c>
      <c r="L111" s="1" t="s">
        <v>123</v>
      </c>
    </row>
    <row r="112" spans="1:12" x14ac:dyDescent="0.25">
      <c r="A112" t="s">
        <v>12</v>
      </c>
      <c r="B112" s="1">
        <v>2</v>
      </c>
      <c r="C112" s="1">
        <v>14</v>
      </c>
      <c r="D112" s="1">
        <v>9.7799999999999994</v>
      </c>
      <c r="E112" s="1">
        <v>11.5</v>
      </c>
      <c r="F112" s="1" t="s">
        <v>13</v>
      </c>
      <c r="G112" s="2">
        <v>45482</v>
      </c>
      <c r="H112" s="2">
        <v>0.48969765046296299</v>
      </c>
      <c r="I112" s="1">
        <v>111</v>
      </c>
      <c r="J112" s="1">
        <v>937</v>
      </c>
      <c r="K112" s="1">
        <v>46.2</v>
      </c>
      <c r="L112" s="1" t="s">
        <v>124</v>
      </c>
    </row>
    <row r="113" spans="1:12" x14ac:dyDescent="0.25">
      <c r="A113" t="s">
        <v>12</v>
      </c>
      <c r="B113" s="1">
        <v>1</v>
      </c>
      <c r="C113" s="1">
        <v>14</v>
      </c>
      <c r="D113" s="1">
        <v>6.92</v>
      </c>
      <c r="E113" s="1">
        <v>11.1</v>
      </c>
      <c r="F113" s="1" t="s">
        <v>13</v>
      </c>
      <c r="G113" s="2">
        <v>45482</v>
      </c>
      <c r="H113" s="2">
        <v>0.4903661226851852</v>
      </c>
      <c r="I113" s="1">
        <v>112</v>
      </c>
      <c r="J113" s="1">
        <v>913</v>
      </c>
      <c r="K113" s="1">
        <v>46.2</v>
      </c>
      <c r="L113" s="1" t="s">
        <v>125</v>
      </c>
    </row>
    <row r="114" spans="1:12" x14ac:dyDescent="0.25">
      <c r="A114" t="s">
        <v>12</v>
      </c>
      <c r="B114" s="1">
        <v>1</v>
      </c>
      <c r="C114" s="1">
        <v>15</v>
      </c>
      <c r="D114" s="1">
        <v>8.15</v>
      </c>
      <c r="E114" s="1">
        <v>12.6</v>
      </c>
      <c r="F114" s="1" t="s">
        <v>13</v>
      </c>
      <c r="G114" s="2">
        <v>45482</v>
      </c>
      <c r="H114" s="2">
        <v>0.49094872685185187</v>
      </c>
      <c r="I114" s="1">
        <v>113</v>
      </c>
      <c r="J114" s="1">
        <v>1012</v>
      </c>
      <c r="K114" s="1">
        <v>46.7</v>
      </c>
      <c r="L114" s="1" t="s">
        <v>126</v>
      </c>
    </row>
    <row r="115" spans="1:12" x14ac:dyDescent="0.25">
      <c r="A115" t="s">
        <v>12</v>
      </c>
      <c r="B115" s="1">
        <v>2</v>
      </c>
      <c r="C115" s="1">
        <v>15</v>
      </c>
      <c r="D115" s="1">
        <v>10.220000000000001</v>
      </c>
      <c r="E115" s="1">
        <v>12.6</v>
      </c>
      <c r="F115" s="1" t="s">
        <v>13</v>
      </c>
      <c r="G115" s="2">
        <v>45482</v>
      </c>
      <c r="H115" s="2">
        <v>0.49149961805555553</v>
      </c>
      <c r="I115" s="1">
        <v>114</v>
      </c>
      <c r="J115" s="1">
        <v>1011</v>
      </c>
      <c r="K115" s="1">
        <v>46.9</v>
      </c>
      <c r="L115" s="1" t="s">
        <v>127</v>
      </c>
    </row>
    <row r="116" spans="1:12" x14ac:dyDescent="0.25">
      <c r="A116" t="s">
        <v>12</v>
      </c>
      <c r="B116" s="1">
        <v>3</v>
      </c>
      <c r="C116" s="1">
        <v>15</v>
      </c>
      <c r="D116" s="1">
        <v>8.08</v>
      </c>
      <c r="E116" s="1">
        <v>12.4</v>
      </c>
      <c r="F116" s="1" t="s">
        <v>13</v>
      </c>
      <c r="G116" s="2">
        <v>45482</v>
      </c>
      <c r="H116" s="2">
        <v>0.49218140046296294</v>
      </c>
      <c r="I116" s="1">
        <v>115</v>
      </c>
      <c r="J116" s="1">
        <v>1005</v>
      </c>
      <c r="K116" s="1">
        <v>47</v>
      </c>
      <c r="L116" s="1" t="s">
        <v>128</v>
      </c>
    </row>
    <row r="117" spans="1:12" x14ac:dyDescent="0.25">
      <c r="A117" t="s">
        <v>12</v>
      </c>
      <c r="B117" s="1">
        <v>4</v>
      </c>
      <c r="C117" s="1">
        <v>15</v>
      </c>
      <c r="D117" s="1">
        <v>8.44</v>
      </c>
      <c r="E117" s="1">
        <v>12.5</v>
      </c>
      <c r="F117" s="1" t="s">
        <v>13</v>
      </c>
      <c r="G117" s="2">
        <v>45482</v>
      </c>
      <c r="H117" s="2">
        <v>0.4929027777777778</v>
      </c>
      <c r="I117" s="1">
        <v>116</v>
      </c>
      <c r="J117" s="1">
        <v>1006</v>
      </c>
      <c r="K117" s="1">
        <v>46.7</v>
      </c>
      <c r="L117" s="1" t="s">
        <v>129</v>
      </c>
    </row>
    <row r="118" spans="1:12" x14ac:dyDescent="0.25">
      <c r="A118" t="s">
        <v>12</v>
      </c>
      <c r="B118" s="1">
        <v>5</v>
      </c>
      <c r="C118" s="1">
        <v>15</v>
      </c>
      <c r="D118" s="1">
        <v>10.41</v>
      </c>
      <c r="E118" s="1">
        <v>12.2</v>
      </c>
      <c r="F118" s="1" t="s">
        <v>13</v>
      </c>
      <c r="G118" s="2">
        <v>45482</v>
      </c>
      <c r="H118" s="2">
        <v>0.49339505787037036</v>
      </c>
      <c r="I118" s="1">
        <v>117</v>
      </c>
      <c r="J118" s="1">
        <v>984</v>
      </c>
      <c r="K118" s="1">
        <v>46.5</v>
      </c>
      <c r="L118" s="1" t="s">
        <v>130</v>
      </c>
    </row>
    <row r="119" spans="1:12" x14ac:dyDescent="0.25">
      <c r="A119" t="s">
        <v>12</v>
      </c>
      <c r="B119" s="1">
        <v>6</v>
      </c>
      <c r="C119" s="1">
        <v>15</v>
      </c>
      <c r="D119" s="1">
        <v>10.53</v>
      </c>
      <c r="E119" s="1">
        <v>12.5</v>
      </c>
      <c r="F119" s="1" t="s">
        <v>13</v>
      </c>
      <c r="G119" s="2">
        <v>45482</v>
      </c>
      <c r="H119" s="2">
        <v>0.4939778125</v>
      </c>
      <c r="I119" s="1">
        <v>118</v>
      </c>
      <c r="J119" s="1">
        <v>1001</v>
      </c>
      <c r="K119" s="1">
        <v>46.2</v>
      </c>
      <c r="L119" s="1" t="s">
        <v>131</v>
      </c>
    </row>
    <row r="120" spans="1:12" x14ac:dyDescent="0.25">
      <c r="A120" t="s">
        <v>12</v>
      </c>
      <c r="B120" s="1">
        <v>7</v>
      </c>
      <c r="C120" s="1">
        <v>15</v>
      </c>
      <c r="D120" s="1">
        <v>10.34</v>
      </c>
      <c r="E120" s="1">
        <v>12.2</v>
      </c>
      <c r="F120" s="1" t="s">
        <v>13</v>
      </c>
      <c r="G120" s="2">
        <v>45482</v>
      </c>
      <c r="H120" s="2">
        <v>0.49452353009259259</v>
      </c>
      <c r="I120" s="1">
        <v>119</v>
      </c>
      <c r="J120" s="1">
        <v>985</v>
      </c>
      <c r="K120" s="1">
        <v>46.5</v>
      </c>
      <c r="L120" s="1" t="s">
        <v>132</v>
      </c>
    </row>
    <row r="121" spans="1:12" x14ac:dyDescent="0.25">
      <c r="A121" t="s">
        <v>12</v>
      </c>
      <c r="B121" s="1">
        <v>8</v>
      </c>
      <c r="C121" s="1">
        <v>15</v>
      </c>
      <c r="D121" s="1">
        <v>11.89</v>
      </c>
      <c r="E121" s="1">
        <v>11.8</v>
      </c>
      <c r="F121" s="1" t="s">
        <v>13</v>
      </c>
      <c r="G121" s="2">
        <v>45482</v>
      </c>
      <c r="H121" s="2">
        <v>0.49523781250000004</v>
      </c>
      <c r="I121" s="1">
        <v>120</v>
      </c>
      <c r="J121" s="1">
        <v>961</v>
      </c>
      <c r="K121" s="1">
        <v>46.3</v>
      </c>
      <c r="L121" s="1" t="s">
        <v>133</v>
      </c>
    </row>
    <row r="122" spans="1:12" x14ac:dyDescent="0.25">
      <c r="A122" t="s">
        <v>12</v>
      </c>
      <c r="B122" s="1">
        <v>8</v>
      </c>
      <c r="C122" s="1">
        <v>16</v>
      </c>
      <c r="D122" s="1">
        <v>8.4600000000000009</v>
      </c>
      <c r="E122" s="1">
        <v>12.1</v>
      </c>
      <c r="F122" s="1" t="s">
        <v>13</v>
      </c>
      <c r="G122" s="2">
        <v>45482</v>
      </c>
      <c r="H122" s="2">
        <v>0.49591790509259259</v>
      </c>
      <c r="I122" s="1">
        <v>121</v>
      </c>
      <c r="J122" s="1">
        <v>983</v>
      </c>
      <c r="K122" s="1">
        <v>47</v>
      </c>
      <c r="L122" s="1" t="s">
        <v>134</v>
      </c>
    </row>
    <row r="123" spans="1:12" x14ac:dyDescent="0.25">
      <c r="A123" t="s">
        <v>12</v>
      </c>
      <c r="B123" s="1">
        <v>7</v>
      </c>
      <c r="C123" s="1">
        <v>16</v>
      </c>
      <c r="D123" s="1">
        <v>6.33</v>
      </c>
      <c r="E123" s="1">
        <v>12.5</v>
      </c>
      <c r="F123" s="1" t="s">
        <v>13</v>
      </c>
      <c r="G123" s="2">
        <v>45482</v>
      </c>
      <c r="H123" s="2">
        <v>0.49649667824074073</v>
      </c>
      <c r="I123" s="1">
        <v>122</v>
      </c>
      <c r="J123" s="1">
        <v>1009</v>
      </c>
      <c r="K123" s="1">
        <v>46.7</v>
      </c>
      <c r="L123" s="1" t="s">
        <v>135</v>
      </c>
    </row>
    <row r="124" spans="1:12" x14ac:dyDescent="0.25">
      <c r="A124" t="s">
        <v>12</v>
      </c>
      <c r="B124" s="1">
        <v>6</v>
      </c>
      <c r="C124" s="1">
        <v>16</v>
      </c>
      <c r="D124" s="1">
        <v>7.63</v>
      </c>
      <c r="E124" s="1">
        <v>12.9</v>
      </c>
      <c r="F124" s="1" t="s">
        <v>13</v>
      </c>
      <c r="G124" s="2">
        <v>45482</v>
      </c>
      <c r="H124" s="2">
        <v>0.49703341435185183</v>
      </c>
      <c r="I124" s="1">
        <v>123</v>
      </c>
      <c r="J124" s="1">
        <v>1029</v>
      </c>
      <c r="K124" s="1">
        <v>46.7</v>
      </c>
      <c r="L124" s="1" t="s">
        <v>136</v>
      </c>
    </row>
    <row r="125" spans="1:12" x14ac:dyDescent="0.25">
      <c r="A125" t="s">
        <v>12</v>
      </c>
      <c r="B125" s="1">
        <v>5</v>
      </c>
      <c r="C125" s="1">
        <v>16</v>
      </c>
      <c r="D125" s="1">
        <v>6.29</v>
      </c>
      <c r="E125" s="1">
        <v>13.4</v>
      </c>
      <c r="F125" s="1" t="s">
        <v>13</v>
      </c>
      <c r="G125" s="2">
        <v>45482</v>
      </c>
      <c r="H125" s="2">
        <v>0.49750868055555553</v>
      </c>
      <c r="I125" s="1">
        <v>124</v>
      </c>
      <c r="J125" s="1">
        <v>1056</v>
      </c>
      <c r="K125" s="1">
        <v>46.5</v>
      </c>
      <c r="L125" s="1" t="s">
        <v>137</v>
      </c>
    </row>
    <row r="126" spans="1:12" x14ac:dyDescent="0.25">
      <c r="A126" t="s">
        <v>12</v>
      </c>
      <c r="B126" s="1">
        <v>4</v>
      </c>
      <c r="C126" s="1">
        <v>16</v>
      </c>
      <c r="D126" s="1">
        <v>5.82</v>
      </c>
      <c r="E126" s="1">
        <v>12.2</v>
      </c>
      <c r="F126" s="1" t="s">
        <v>13</v>
      </c>
      <c r="G126" s="2">
        <v>45482</v>
      </c>
      <c r="H126" s="2">
        <v>0.49811782407407407</v>
      </c>
      <c r="I126" s="1">
        <v>125</v>
      </c>
      <c r="J126" s="1">
        <v>991</v>
      </c>
      <c r="K126" s="1">
        <v>47.1</v>
      </c>
      <c r="L126" s="1" t="s">
        <v>138</v>
      </c>
    </row>
    <row r="127" spans="1:12" x14ac:dyDescent="0.25">
      <c r="A127" t="s">
        <v>12</v>
      </c>
      <c r="B127" s="1">
        <v>3</v>
      </c>
      <c r="C127" s="1">
        <v>16</v>
      </c>
      <c r="D127" s="1">
        <v>6.01</v>
      </c>
      <c r="E127" s="1">
        <v>11.6</v>
      </c>
      <c r="F127" s="1" t="s">
        <v>13</v>
      </c>
      <c r="G127" s="2">
        <v>45482</v>
      </c>
      <c r="H127" s="2">
        <v>0.49876195601851853</v>
      </c>
      <c r="I127" s="1">
        <v>126</v>
      </c>
      <c r="J127" s="1">
        <v>955</v>
      </c>
      <c r="K127" s="1">
        <v>47.8</v>
      </c>
      <c r="L127" s="1" t="s">
        <v>139</v>
      </c>
    </row>
    <row r="128" spans="1:12" x14ac:dyDescent="0.25">
      <c r="A128" t="s">
        <v>12</v>
      </c>
      <c r="B128" s="1">
        <v>2</v>
      </c>
      <c r="C128" s="1">
        <v>16</v>
      </c>
      <c r="D128" s="1">
        <v>5.61</v>
      </c>
      <c r="E128" s="1">
        <v>11.4</v>
      </c>
      <c r="F128" s="1" t="s">
        <v>13</v>
      </c>
      <c r="G128" s="2">
        <v>45482</v>
      </c>
      <c r="H128" s="2">
        <v>0.49933923611111108</v>
      </c>
      <c r="I128" s="1">
        <v>127</v>
      </c>
      <c r="J128" s="1">
        <v>942</v>
      </c>
      <c r="K128" s="1">
        <v>48.1</v>
      </c>
      <c r="L128" s="1" t="s">
        <v>140</v>
      </c>
    </row>
    <row r="129" spans="1:12" x14ac:dyDescent="0.25">
      <c r="A129" t="s">
        <v>12</v>
      </c>
      <c r="B129" s="1">
        <v>1</v>
      </c>
      <c r="C129" s="1">
        <v>16</v>
      </c>
      <c r="D129" s="1">
        <v>5.94</v>
      </c>
      <c r="E129" s="1">
        <v>13.1</v>
      </c>
      <c r="F129" s="1" t="s">
        <v>13</v>
      </c>
      <c r="G129" s="2">
        <v>45482</v>
      </c>
      <c r="H129" s="2">
        <v>0.50009656250000001</v>
      </c>
      <c r="I129" s="1">
        <v>128</v>
      </c>
      <c r="J129" s="1">
        <v>1048</v>
      </c>
      <c r="K129" s="1">
        <v>48.1</v>
      </c>
      <c r="L129" s="1" t="s">
        <v>141</v>
      </c>
    </row>
    <row r="130" spans="1:12" x14ac:dyDescent="0.25">
      <c r="A130" t="s">
        <v>12</v>
      </c>
      <c r="B130" s="1">
        <v>1</v>
      </c>
      <c r="C130" s="1">
        <v>17</v>
      </c>
      <c r="D130" s="1">
        <v>11.04</v>
      </c>
      <c r="E130" s="1">
        <v>12.5</v>
      </c>
      <c r="F130" s="1" t="s">
        <v>13</v>
      </c>
      <c r="G130" s="2">
        <v>45482</v>
      </c>
      <c r="H130" s="2">
        <v>0.50348900462962953</v>
      </c>
      <c r="I130" s="1">
        <v>129</v>
      </c>
      <c r="J130" s="1">
        <v>1016</v>
      </c>
      <c r="K130" s="1">
        <v>49</v>
      </c>
      <c r="L130" s="1" t="s">
        <v>142</v>
      </c>
    </row>
    <row r="131" spans="1:12" x14ac:dyDescent="0.25">
      <c r="A131" t="s">
        <v>12</v>
      </c>
      <c r="B131" s="1">
        <v>2</v>
      </c>
      <c r="C131" s="1">
        <v>17</v>
      </c>
      <c r="D131" s="1">
        <v>13.44</v>
      </c>
      <c r="E131" s="1">
        <v>12.6</v>
      </c>
      <c r="F131" s="1" t="s">
        <v>13</v>
      </c>
      <c r="G131" s="2">
        <v>45482</v>
      </c>
      <c r="H131" s="2">
        <v>0.5040627314814814</v>
      </c>
      <c r="I131" s="1">
        <v>130</v>
      </c>
      <c r="J131" s="1">
        <v>1018</v>
      </c>
      <c r="K131" s="1">
        <v>48.1</v>
      </c>
      <c r="L131" s="1" t="s">
        <v>143</v>
      </c>
    </row>
    <row r="132" spans="1:12" x14ac:dyDescent="0.25">
      <c r="A132" t="s">
        <v>12</v>
      </c>
      <c r="B132" s="1">
        <v>3</v>
      </c>
      <c r="C132" s="1">
        <v>17</v>
      </c>
      <c r="D132" s="1">
        <v>11.66</v>
      </c>
      <c r="E132" s="1">
        <v>12.6</v>
      </c>
      <c r="F132" s="1" t="s">
        <v>13</v>
      </c>
      <c r="G132" s="2">
        <v>45482</v>
      </c>
      <c r="H132" s="2">
        <v>0.50460165509259258</v>
      </c>
      <c r="I132" s="1">
        <v>131</v>
      </c>
      <c r="J132" s="1">
        <v>1019</v>
      </c>
      <c r="K132" s="1">
        <v>47.7</v>
      </c>
      <c r="L132" s="1" t="s">
        <v>144</v>
      </c>
    </row>
    <row r="133" spans="1:12" x14ac:dyDescent="0.25">
      <c r="A133" t="s">
        <v>12</v>
      </c>
      <c r="B133" s="1">
        <v>4</v>
      </c>
      <c r="C133" s="1">
        <v>17</v>
      </c>
      <c r="D133" s="1">
        <v>11.8</v>
      </c>
      <c r="E133" s="1">
        <v>11.2</v>
      </c>
      <c r="F133" s="1" t="s">
        <v>13</v>
      </c>
      <c r="G133" s="2">
        <v>45482</v>
      </c>
      <c r="H133" s="2">
        <v>0.50531241898148149</v>
      </c>
      <c r="I133" s="1">
        <v>132</v>
      </c>
      <c r="J133" s="1">
        <v>932</v>
      </c>
      <c r="K133" s="1">
        <v>47.7</v>
      </c>
      <c r="L133" s="1" t="s">
        <v>145</v>
      </c>
    </row>
    <row r="134" spans="1:12" x14ac:dyDescent="0.25">
      <c r="A134" t="s">
        <v>12</v>
      </c>
      <c r="B134" s="1">
        <v>5</v>
      </c>
      <c r="C134" s="1">
        <v>17</v>
      </c>
      <c r="D134" s="1">
        <v>6.95</v>
      </c>
      <c r="E134" s="1">
        <v>12.3</v>
      </c>
      <c r="F134" s="1" t="s">
        <v>13</v>
      </c>
      <c r="G134" s="2">
        <v>45482</v>
      </c>
      <c r="H134" s="2">
        <v>0.50579039351851862</v>
      </c>
      <c r="I134" s="1">
        <v>133</v>
      </c>
      <c r="J134" s="1">
        <v>997</v>
      </c>
      <c r="K134" s="1">
        <v>47.4</v>
      </c>
      <c r="L134" s="1" t="s">
        <v>146</v>
      </c>
    </row>
    <row r="135" spans="1:12" x14ac:dyDescent="0.25">
      <c r="A135" t="s">
        <v>12</v>
      </c>
      <c r="B135" s="1">
        <v>6</v>
      </c>
      <c r="C135" s="1">
        <v>17</v>
      </c>
      <c r="D135" s="1">
        <v>8.3000000000000007</v>
      </c>
      <c r="E135" s="1">
        <v>11.1</v>
      </c>
      <c r="F135" s="1" t="s">
        <v>13</v>
      </c>
      <c r="G135" s="2">
        <v>45482</v>
      </c>
      <c r="H135" s="2">
        <v>0.50647766203703704</v>
      </c>
      <c r="I135" s="1">
        <v>134</v>
      </c>
      <c r="J135" s="1">
        <v>919</v>
      </c>
      <c r="K135" s="1">
        <v>47.5</v>
      </c>
      <c r="L135" s="1" t="s">
        <v>147</v>
      </c>
    </row>
    <row r="136" spans="1:12" x14ac:dyDescent="0.25">
      <c r="A136" t="s">
        <v>12</v>
      </c>
      <c r="B136" s="1">
        <v>7</v>
      </c>
      <c r="C136" s="1">
        <v>17</v>
      </c>
      <c r="D136" s="1">
        <v>6.02</v>
      </c>
      <c r="E136" s="1">
        <v>11.7</v>
      </c>
      <c r="F136" s="1" t="s">
        <v>13</v>
      </c>
      <c r="G136" s="2">
        <v>45482</v>
      </c>
      <c r="H136" s="2">
        <v>0.50716380787037041</v>
      </c>
      <c r="I136" s="1">
        <v>135</v>
      </c>
      <c r="J136" s="1">
        <v>958</v>
      </c>
      <c r="K136" s="1">
        <v>47.5</v>
      </c>
      <c r="L136" s="1" t="s">
        <v>148</v>
      </c>
    </row>
    <row r="137" spans="1:12" x14ac:dyDescent="0.25">
      <c r="A137" t="s">
        <v>12</v>
      </c>
      <c r="B137" s="1">
        <v>8</v>
      </c>
      <c r="C137" s="1">
        <v>17</v>
      </c>
      <c r="D137" s="1">
        <v>8.14</v>
      </c>
      <c r="E137" s="1">
        <v>12</v>
      </c>
      <c r="F137" s="1" t="s">
        <v>13</v>
      </c>
      <c r="G137" s="2">
        <v>45482</v>
      </c>
      <c r="H137" s="2">
        <v>0.50775674768518519</v>
      </c>
      <c r="I137" s="1">
        <v>136</v>
      </c>
      <c r="J137" s="1">
        <v>976</v>
      </c>
      <c r="K137" s="1">
        <v>47.4</v>
      </c>
      <c r="L137" s="1" t="s">
        <v>149</v>
      </c>
    </row>
    <row r="138" spans="1:12" x14ac:dyDescent="0.25">
      <c r="A138" t="s">
        <v>12</v>
      </c>
      <c r="B138" s="1">
        <v>8</v>
      </c>
      <c r="C138" s="1">
        <v>18</v>
      </c>
      <c r="D138" s="1">
        <v>8.98</v>
      </c>
      <c r="E138" s="1">
        <v>12.5</v>
      </c>
      <c r="F138" s="1" t="s">
        <v>13</v>
      </c>
      <c r="G138" s="2">
        <v>45482</v>
      </c>
      <c r="H138" s="2">
        <v>0.50843692129629636</v>
      </c>
      <c r="I138" s="1">
        <v>137</v>
      </c>
      <c r="J138" s="1">
        <v>1013</v>
      </c>
      <c r="K138" s="1">
        <v>47.8</v>
      </c>
      <c r="L138" s="1" t="s">
        <v>150</v>
      </c>
    </row>
    <row r="139" spans="1:12" x14ac:dyDescent="0.25">
      <c r="A139" t="s">
        <v>12</v>
      </c>
      <c r="B139" s="1">
        <v>7</v>
      </c>
      <c r="C139" s="1">
        <v>18</v>
      </c>
      <c r="D139" s="1">
        <v>6.72</v>
      </c>
      <c r="E139" s="1">
        <v>13</v>
      </c>
      <c r="F139" s="1" t="s">
        <v>13</v>
      </c>
      <c r="G139" s="2">
        <v>45482</v>
      </c>
      <c r="H139" s="2">
        <v>0.50898105324074072</v>
      </c>
      <c r="I139" s="1">
        <v>138</v>
      </c>
      <c r="J139" s="1">
        <v>1044</v>
      </c>
      <c r="K139" s="1">
        <v>47.8</v>
      </c>
      <c r="L139" s="1" t="s">
        <v>151</v>
      </c>
    </row>
    <row r="140" spans="1:12" x14ac:dyDescent="0.25">
      <c r="A140" t="s">
        <v>12</v>
      </c>
      <c r="B140" s="1">
        <v>6</v>
      </c>
      <c r="C140" s="1">
        <v>18</v>
      </c>
      <c r="D140" s="1">
        <v>9.3800000000000008</v>
      </c>
      <c r="E140" s="1">
        <v>12.1</v>
      </c>
      <c r="F140" s="1" t="s">
        <v>13</v>
      </c>
      <c r="G140" s="2">
        <v>45482</v>
      </c>
      <c r="H140" s="2">
        <v>0.50951380787037037</v>
      </c>
      <c r="I140" s="1">
        <v>139</v>
      </c>
      <c r="J140" s="1">
        <v>986</v>
      </c>
      <c r="K140" s="1">
        <v>47.5</v>
      </c>
      <c r="L140" s="1" t="s">
        <v>152</v>
      </c>
    </row>
    <row r="141" spans="1:12" x14ac:dyDescent="0.25">
      <c r="A141" t="s">
        <v>12</v>
      </c>
      <c r="B141" s="1">
        <v>5</v>
      </c>
      <c r="C141" s="1">
        <v>18</v>
      </c>
      <c r="D141" s="1">
        <v>7.22</v>
      </c>
      <c r="E141" s="1">
        <v>12.3</v>
      </c>
      <c r="F141" s="1" t="s">
        <v>13</v>
      </c>
      <c r="G141" s="2">
        <v>45482</v>
      </c>
      <c r="H141" s="2">
        <v>0.51004085648148145</v>
      </c>
      <c r="I141" s="1">
        <v>140</v>
      </c>
      <c r="J141" s="1">
        <v>998</v>
      </c>
      <c r="K141" s="1">
        <v>47.5</v>
      </c>
      <c r="L141" s="1" t="s">
        <v>153</v>
      </c>
    </row>
    <row r="142" spans="1:12" x14ac:dyDescent="0.25">
      <c r="A142" t="s">
        <v>12</v>
      </c>
      <c r="B142" s="1">
        <v>4</v>
      </c>
      <c r="C142" s="1">
        <v>18</v>
      </c>
      <c r="D142" s="1">
        <v>10.32</v>
      </c>
      <c r="E142" s="1">
        <v>12</v>
      </c>
      <c r="F142" s="1" t="s">
        <v>13</v>
      </c>
      <c r="G142" s="2">
        <v>45482</v>
      </c>
      <c r="H142" s="2">
        <v>0.51064247685185182</v>
      </c>
      <c r="I142" s="1">
        <v>141</v>
      </c>
      <c r="J142" s="1">
        <v>982</v>
      </c>
      <c r="K142" s="1">
        <v>47.7</v>
      </c>
      <c r="L142" s="1" t="s">
        <v>154</v>
      </c>
    </row>
    <row r="143" spans="1:12" x14ac:dyDescent="0.25">
      <c r="A143" t="s">
        <v>12</v>
      </c>
      <c r="B143" s="1">
        <v>3</v>
      </c>
      <c r="C143" s="1">
        <v>18</v>
      </c>
      <c r="D143" s="1">
        <v>10.4</v>
      </c>
      <c r="E143" s="1">
        <v>11.8</v>
      </c>
      <c r="F143" s="1" t="s">
        <v>13</v>
      </c>
      <c r="G143" s="2">
        <v>45482</v>
      </c>
      <c r="H143" s="2">
        <v>0.51120590277777778</v>
      </c>
      <c r="I143" s="1">
        <v>142</v>
      </c>
      <c r="J143" s="1">
        <v>967</v>
      </c>
      <c r="K143" s="1">
        <v>47.4</v>
      </c>
      <c r="L143" s="1" t="s">
        <v>155</v>
      </c>
    </row>
    <row r="144" spans="1:12" x14ac:dyDescent="0.25">
      <c r="A144" t="s">
        <v>12</v>
      </c>
      <c r="B144" s="1">
        <v>2</v>
      </c>
      <c r="C144" s="1">
        <v>18</v>
      </c>
      <c r="D144" s="1">
        <v>11.28</v>
      </c>
      <c r="E144" s="1">
        <v>12.1</v>
      </c>
      <c r="F144" s="1" t="s">
        <v>13</v>
      </c>
      <c r="G144" s="2">
        <v>45482</v>
      </c>
      <c r="H144" s="2">
        <v>0.5118304398148148</v>
      </c>
      <c r="I144" s="1">
        <v>143</v>
      </c>
      <c r="J144" s="1">
        <v>985</v>
      </c>
      <c r="K144" s="1">
        <v>47.3</v>
      </c>
      <c r="L144" s="1" t="s">
        <v>156</v>
      </c>
    </row>
    <row r="145" spans="1:12" x14ac:dyDescent="0.25">
      <c r="A145" t="s">
        <v>12</v>
      </c>
      <c r="B145" s="1">
        <v>1</v>
      </c>
      <c r="C145" s="1">
        <v>18</v>
      </c>
      <c r="D145" s="1">
        <v>9.74</v>
      </c>
      <c r="E145" s="1">
        <v>10.7</v>
      </c>
      <c r="F145" s="1" t="s">
        <v>13</v>
      </c>
      <c r="G145" s="2">
        <v>45482</v>
      </c>
      <c r="H145" s="2">
        <v>0.51238561342592592</v>
      </c>
      <c r="I145" s="1">
        <v>144</v>
      </c>
      <c r="J145" s="1">
        <v>890</v>
      </c>
      <c r="K145" s="1">
        <v>47.3</v>
      </c>
      <c r="L145" s="1" t="s">
        <v>157</v>
      </c>
    </row>
    <row r="146" spans="1:12" x14ac:dyDescent="0.25">
      <c r="A146" t="s">
        <v>12</v>
      </c>
      <c r="B146" s="1">
        <v>1</v>
      </c>
      <c r="C146" s="1">
        <v>19</v>
      </c>
      <c r="D146" s="1">
        <v>10.18</v>
      </c>
      <c r="E146" s="1">
        <v>12</v>
      </c>
      <c r="F146" s="1" t="s">
        <v>13</v>
      </c>
      <c r="G146" s="2">
        <v>45482</v>
      </c>
      <c r="H146" s="2">
        <v>0.51304166666666662</v>
      </c>
      <c r="I146" s="1">
        <v>145</v>
      </c>
      <c r="J146" s="1">
        <v>984</v>
      </c>
      <c r="K146" s="1">
        <v>47.8</v>
      </c>
      <c r="L146" s="1" t="s">
        <v>158</v>
      </c>
    </row>
    <row r="147" spans="1:12" x14ac:dyDescent="0.25">
      <c r="A147" t="s">
        <v>12</v>
      </c>
      <c r="B147" s="1">
        <v>2</v>
      </c>
      <c r="C147" s="1">
        <v>19</v>
      </c>
      <c r="D147" s="1">
        <v>11.75</v>
      </c>
      <c r="E147" s="1">
        <v>11.6</v>
      </c>
      <c r="F147" s="1" t="s">
        <v>13</v>
      </c>
      <c r="G147" s="2">
        <v>45482</v>
      </c>
      <c r="H147" s="2">
        <v>0.51362392361111109</v>
      </c>
      <c r="I147" s="1">
        <v>146</v>
      </c>
      <c r="J147" s="1">
        <v>952</v>
      </c>
      <c r="K147" s="1">
        <v>47.4</v>
      </c>
      <c r="L147" s="1" t="s">
        <v>159</v>
      </c>
    </row>
    <row r="148" spans="1:12" x14ac:dyDescent="0.25">
      <c r="A148" t="s">
        <v>12</v>
      </c>
      <c r="B148" s="1">
        <v>3</v>
      </c>
      <c r="C148" s="1">
        <v>19</v>
      </c>
      <c r="D148" s="1">
        <v>10.8</v>
      </c>
      <c r="E148" s="1">
        <v>12</v>
      </c>
      <c r="F148" s="1" t="s">
        <v>13</v>
      </c>
      <c r="G148" s="2">
        <v>45482</v>
      </c>
      <c r="H148" s="2">
        <v>0.5141120023148148</v>
      </c>
      <c r="I148" s="1">
        <v>147</v>
      </c>
      <c r="J148" s="1">
        <v>977</v>
      </c>
      <c r="K148" s="1">
        <v>47.1</v>
      </c>
      <c r="L148" s="1" t="s">
        <v>160</v>
      </c>
    </row>
    <row r="149" spans="1:12" x14ac:dyDescent="0.25">
      <c r="A149" t="s">
        <v>12</v>
      </c>
      <c r="B149" s="1">
        <v>4</v>
      </c>
      <c r="C149" s="1">
        <v>19</v>
      </c>
      <c r="D149" s="1">
        <v>11.29</v>
      </c>
      <c r="E149" s="1">
        <v>11.8</v>
      </c>
      <c r="F149" s="1" t="s">
        <v>13</v>
      </c>
      <c r="G149" s="2">
        <v>45482</v>
      </c>
      <c r="H149" s="2">
        <v>0.51471203703703705</v>
      </c>
      <c r="I149" s="1">
        <v>148</v>
      </c>
      <c r="J149" s="1">
        <v>963</v>
      </c>
      <c r="K149" s="1">
        <v>47.1</v>
      </c>
      <c r="L149" s="1" t="s">
        <v>161</v>
      </c>
    </row>
    <row r="150" spans="1:12" x14ac:dyDescent="0.25">
      <c r="A150" t="s">
        <v>12</v>
      </c>
      <c r="B150" s="1">
        <v>5</v>
      </c>
      <c r="C150" s="1">
        <v>19</v>
      </c>
      <c r="D150" s="1">
        <v>7.08</v>
      </c>
      <c r="E150" s="1">
        <v>12.5</v>
      </c>
      <c r="F150" s="1" t="s">
        <v>13</v>
      </c>
      <c r="G150" s="2">
        <v>45482</v>
      </c>
      <c r="H150" s="2">
        <v>0.51511501157407413</v>
      </c>
      <c r="I150" s="1">
        <v>149</v>
      </c>
      <c r="J150" s="1">
        <v>1010</v>
      </c>
      <c r="K150" s="1">
        <v>47</v>
      </c>
      <c r="L150" s="1" t="s">
        <v>162</v>
      </c>
    </row>
    <row r="151" spans="1:12" x14ac:dyDescent="0.25">
      <c r="A151" t="s">
        <v>12</v>
      </c>
      <c r="B151" s="1">
        <v>6</v>
      </c>
      <c r="C151" s="1">
        <v>19</v>
      </c>
      <c r="D151" s="1">
        <v>9.0500000000000007</v>
      </c>
      <c r="E151" s="1">
        <v>12.3</v>
      </c>
      <c r="F151" s="1" t="s">
        <v>13</v>
      </c>
      <c r="G151" s="2">
        <v>45482</v>
      </c>
      <c r="H151" s="2">
        <v>0.51586631944444439</v>
      </c>
      <c r="I151" s="1">
        <v>150</v>
      </c>
      <c r="J151" s="1">
        <v>1000</v>
      </c>
      <c r="K151" s="1">
        <v>47.8</v>
      </c>
      <c r="L151" s="1" t="s">
        <v>163</v>
      </c>
    </row>
    <row r="152" spans="1:12" x14ac:dyDescent="0.25">
      <c r="A152" t="s">
        <v>12</v>
      </c>
      <c r="B152" s="1">
        <v>7</v>
      </c>
      <c r="C152" s="1">
        <v>19</v>
      </c>
      <c r="D152" s="1">
        <v>8</v>
      </c>
      <c r="E152" s="1">
        <v>12.2</v>
      </c>
      <c r="F152" s="1" t="s">
        <v>13</v>
      </c>
      <c r="G152" s="2">
        <v>45482</v>
      </c>
      <c r="H152" s="2">
        <v>0.51636836805555553</v>
      </c>
      <c r="I152" s="1">
        <v>151</v>
      </c>
      <c r="J152" s="1">
        <v>994</v>
      </c>
      <c r="K152" s="1">
        <v>47.7</v>
      </c>
      <c r="L152" s="1" t="s">
        <v>164</v>
      </c>
    </row>
    <row r="153" spans="1:12" x14ac:dyDescent="0.25">
      <c r="A153" t="s">
        <v>12</v>
      </c>
      <c r="B153" s="1">
        <v>8</v>
      </c>
      <c r="C153" s="1">
        <v>19</v>
      </c>
      <c r="D153" s="1">
        <v>10.86</v>
      </c>
      <c r="E153" s="1">
        <v>12.6</v>
      </c>
      <c r="F153" s="1" t="s">
        <v>13</v>
      </c>
      <c r="G153" s="2">
        <v>45482</v>
      </c>
      <c r="H153" s="2">
        <v>0.51683850694444444</v>
      </c>
      <c r="I153" s="1">
        <v>152</v>
      </c>
      <c r="J153" s="1">
        <v>1018</v>
      </c>
      <c r="K153" s="1">
        <v>47.3</v>
      </c>
      <c r="L153" s="1" t="s">
        <v>165</v>
      </c>
    </row>
    <row r="154" spans="1:12" x14ac:dyDescent="0.25">
      <c r="A154" t="s">
        <v>12</v>
      </c>
      <c r="B154" s="1">
        <v>8</v>
      </c>
      <c r="C154" s="1">
        <v>20</v>
      </c>
      <c r="D154" s="1">
        <v>8.51</v>
      </c>
      <c r="E154" s="1">
        <v>11.9</v>
      </c>
      <c r="F154" s="1" t="s">
        <v>13</v>
      </c>
      <c r="G154" s="2">
        <v>45482</v>
      </c>
      <c r="H154" s="2">
        <v>0.51768677083333325</v>
      </c>
      <c r="I154" s="1">
        <v>153</v>
      </c>
      <c r="J154" s="1">
        <v>977</v>
      </c>
      <c r="K154" s="1">
        <v>48</v>
      </c>
      <c r="L154" s="1" t="s">
        <v>166</v>
      </c>
    </row>
    <row r="155" spans="1:12" x14ac:dyDescent="0.25">
      <c r="A155" t="s">
        <v>12</v>
      </c>
      <c r="B155" s="1">
        <v>7</v>
      </c>
      <c r="C155" s="1">
        <v>20</v>
      </c>
      <c r="D155" s="1">
        <v>6.6</v>
      </c>
      <c r="E155" s="1">
        <v>12.2</v>
      </c>
      <c r="F155" s="1" t="s">
        <v>13</v>
      </c>
      <c r="G155" s="2">
        <v>45482</v>
      </c>
      <c r="H155" s="2">
        <v>0.51835667824074072</v>
      </c>
      <c r="I155" s="1">
        <v>154</v>
      </c>
      <c r="J155" s="1">
        <v>993</v>
      </c>
      <c r="K155" s="1">
        <v>47.8</v>
      </c>
      <c r="L155" s="1" t="s">
        <v>167</v>
      </c>
    </row>
    <row r="156" spans="1:12" x14ac:dyDescent="0.25">
      <c r="A156" t="s">
        <v>12</v>
      </c>
      <c r="B156" s="1">
        <v>6</v>
      </c>
      <c r="C156" s="1">
        <v>20</v>
      </c>
      <c r="D156" s="1">
        <v>9.81</v>
      </c>
      <c r="E156" s="1">
        <v>12.4</v>
      </c>
      <c r="F156" s="1" t="s">
        <v>13</v>
      </c>
      <c r="G156" s="2">
        <v>45482</v>
      </c>
      <c r="H156" s="2">
        <v>0.51899953703703705</v>
      </c>
      <c r="I156" s="1">
        <v>155</v>
      </c>
      <c r="J156" s="1">
        <v>1008</v>
      </c>
      <c r="K156" s="1">
        <v>48</v>
      </c>
      <c r="L156" s="1" t="s">
        <v>168</v>
      </c>
    </row>
    <row r="157" spans="1:12" x14ac:dyDescent="0.25">
      <c r="A157" t="s">
        <v>12</v>
      </c>
      <c r="B157" s="1">
        <v>5</v>
      </c>
      <c r="C157" s="1">
        <v>20</v>
      </c>
      <c r="D157" s="1">
        <v>7.48</v>
      </c>
      <c r="E157" s="1">
        <v>12.3</v>
      </c>
      <c r="F157" s="1" t="s">
        <v>13</v>
      </c>
      <c r="G157" s="2">
        <v>45482</v>
      </c>
      <c r="H157" s="2">
        <v>0.5198114236111111</v>
      </c>
      <c r="I157" s="1">
        <v>156</v>
      </c>
      <c r="J157" s="1">
        <v>998</v>
      </c>
      <c r="K157" s="1">
        <v>47.8</v>
      </c>
      <c r="L157" s="1" t="s">
        <v>169</v>
      </c>
    </row>
    <row r="158" spans="1:12" x14ac:dyDescent="0.25">
      <c r="A158" t="s">
        <v>12</v>
      </c>
      <c r="B158" s="1">
        <v>4</v>
      </c>
      <c r="C158" s="1">
        <v>20</v>
      </c>
      <c r="D158" s="1">
        <v>11.4</v>
      </c>
      <c r="E158" s="1">
        <v>12.6</v>
      </c>
      <c r="F158" s="1" t="s">
        <v>13</v>
      </c>
      <c r="G158" s="2">
        <v>45482</v>
      </c>
      <c r="H158" s="2">
        <v>0.52042465277777772</v>
      </c>
      <c r="I158" s="1">
        <v>157</v>
      </c>
      <c r="J158" s="1">
        <v>1017</v>
      </c>
      <c r="K158" s="1">
        <v>47.8</v>
      </c>
      <c r="L158" s="1" t="s">
        <v>170</v>
      </c>
    </row>
    <row r="159" spans="1:12" x14ac:dyDescent="0.25">
      <c r="A159" t="s">
        <v>12</v>
      </c>
      <c r="B159" s="1">
        <v>3</v>
      </c>
      <c r="C159" s="1">
        <v>20</v>
      </c>
      <c r="D159" s="1">
        <v>10.81</v>
      </c>
      <c r="E159" s="1">
        <v>12</v>
      </c>
      <c r="F159" s="1" t="s">
        <v>13</v>
      </c>
      <c r="G159" s="2">
        <v>45482</v>
      </c>
      <c r="H159" s="2">
        <v>0.52111168981481482</v>
      </c>
      <c r="I159" s="1">
        <v>158</v>
      </c>
      <c r="J159" s="1">
        <v>981</v>
      </c>
      <c r="K159" s="1">
        <v>48</v>
      </c>
      <c r="L159" s="1" t="s">
        <v>171</v>
      </c>
    </row>
    <row r="160" spans="1:12" x14ac:dyDescent="0.25">
      <c r="A160" t="s">
        <v>12</v>
      </c>
      <c r="B160" s="1">
        <v>2</v>
      </c>
      <c r="C160" s="1">
        <v>20</v>
      </c>
      <c r="D160" s="1">
        <v>11.65</v>
      </c>
      <c r="E160" s="1">
        <v>12.2</v>
      </c>
      <c r="F160" s="1" t="s">
        <v>13</v>
      </c>
      <c r="G160" s="2">
        <v>45482</v>
      </c>
      <c r="H160" s="2">
        <v>0.52172827546296296</v>
      </c>
      <c r="I160" s="1">
        <v>159</v>
      </c>
      <c r="J160" s="1">
        <v>994</v>
      </c>
      <c r="K160" s="1">
        <v>47.8</v>
      </c>
      <c r="L160" s="1" t="s">
        <v>172</v>
      </c>
    </row>
    <row r="161" spans="1:12" x14ac:dyDescent="0.25">
      <c r="A161" t="s">
        <v>12</v>
      </c>
      <c r="B161" s="1">
        <v>1</v>
      </c>
      <c r="C161" s="1">
        <v>20</v>
      </c>
      <c r="D161" s="1">
        <v>11.02</v>
      </c>
      <c r="E161" s="1">
        <v>12.4</v>
      </c>
      <c r="F161" s="1" t="s">
        <v>13</v>
      </c>
      <c r="G161" s="2">
        <v>45482</v>
      </c>
      <c r="H161" s="2">
        <v>0.52246184027777776</v>
      </c>
      <c r="I161" s="1">
        <v>160</v>
      </c>
      <c r="J161" s="1">
        <v>1006</v>
      </c>
      <c r="K161" s="1">
        <v>48</v>
      </c>
      <c r="L161" s="1" t="s">
        <v>173</v>
      </c>
    </row>
    <row r="162" spans="1:12" x14ac:dyDescent="0.25">
      <c r="A162" t="s">
        <v>12</v>
      </c>
      <c r="B162" s="1">
        <v>1</v>
      </c>
      <c r="C162" s="1">
        <v>21</v>
      </c>
      <c r="D162" s="1">
        <v>10.26</v>
      </c>
      <c r="E162" s="1">
        <v>11.7</v>
      </c>
      <c r="F162" s="1" t="s">
        <v>13</v>
      </c>
      <c r="G162" s="2">
        <v>45482</v>
      </c>
      <c r="H162" s="2">
        <v>0.5424219560185185</v>
      </c>
      <c r="I162" s="1">
        <v>161</v>
      </c>
      <c r="J162" s="1">
        <v>975</v>
      </c>
      <c r="K162" s="1">
        <v>49.7</v>
      </c>
      <c r="L162" s="1" t="s">
        <v>174</v>
      </c>
    </row>
    <row r="163" spans="1:12" x14ac:dyDescent="0.25">
      <c r="A163" t="s">
        <v>12</v>
      </c>
      <c r="B163" s="1">
        <v>2</v>
      </c>
      <c r="C163" s="1">
        <v>21</v>
      </c>
      <c r="D163" s="1">
        <v>11.24</v>
      </c>
      <c r="E163" s="1">
        <v>11.6</v>
      </c>
      <c r="F163" s="1" t="s">
        <v>13</v>
      </c>
      <c r="G163" s="2">
        <v>45482</v>
      </c>
      <c r="H163" s="2">
        <v>0.54312060185185185</v>
      </c>
      <c r="I163" s="1">
        <v>162</v>
      </c>
      <c r="J163" s="1">
        <v>960</v>
      </c>
      <c r="K163" s="1">
        <v>48.6</v>
      </c>
      <c r="L163" s="1" t="s">
        <v>175</v>
      </c>
    </row>
    <row r="164" spans="1:12" x14ac:dyDescent="0.25">
      <c r="A164" t="s">
        <v>12</v>
      </c>
      <c r="B164" s="1">
        <v>3</v>
      </c>
      <c r="C164" s="1">
        <v>21</v>
      </c>
      <c r="D164" s="1">
        <v>9.77</v>
      </c>
      <c r="E164" s="1">
        <v>11.7</v>
      </c>
      <c r="F164" s="1" t="s">
        <v>13</v>
      </c>
      <c r="G164" s="2">
        <v>45482</v>
      </c>
      <c r="H164" s="2">
        <v>0.54369259259259262</v>
      </c>
      <c r="I164" s="1">
        <v>163</v>
      </c>
      <c r="J164" s="1">
        <v>965</v>
      </c>
      <c r="K164" s="1">
        <v>48.4</v>
      </c>
      <c r="L164" s="1" t="s">
        <v>176</v>
      </c>
    </row>
    <row r="165" spans="1:12" x14ac:dyDescent="0.25">
      <c r="A165" t="s">
        <v>12</v>
      </c>
      <c r="B165" s="1">
        <v>4</v>
      </c>
      <c r="C165" s="1">
        <v>21</v>
      </c>
      <c r="D165" s="1">
        <v>11.27</v>
      </c>
      <c r="E165" s="1">
        <v>11.7</v>
      </c>
      <c r="F165" s="1" t="s">
        <v>13</v>
      </c>
      <c r="G165" s="2">
        <v>45482</v>
      </c>
      <c r="H165" s="2">
        <v>0.54438313657407411</v>
      </c>
      <c r="I165" s="1">
        <v>164</v>
      </c>
      <c r="J165" s="1">
        <v>960</v>
      </c>
      <c r="K165" s="1">
        <v>47.8</v>
      </c>
      <c r="L165" s="1" t="s">
        <v>177</v>
      </c>
    </row>
    <row r="166" spans="1:12" x14ac:dyDescent="0.25">
      <c r="A166" t="s">
        <v>12</v>
      </c>
      <c r="B166" s="1">
        <v>5</v>
      </c>
      <c r="C166" s="1">
        <v>21</v>
      </c>
      <c r="D166" s="1">
        <v>6.26</v>
      </c>
      <c r="E166" s="1">
        <v>11.6</v>
      </c>
      <c r="F166" s="1" t="s">
        <v>13</v>
      </c>
      <c r="G166" s="2">
        <v>45482</v>
      </c>
      <c r="H166" s="2">
        <v>0.54490755787037037</v>
      </c>
      <c r="I166" s="1">
        <v>165</v>
      </c>
      <c r="J166" s="1">
        <v>957</v>
      </c>
      <c r="K166" s="1">
        <v>47.7</v>
      </c>
      <c r="L166" s="1" t="s">
        <v>178</v>
      </c>
    </row>
    <row r="167" spans="1:12" x14ac:dyDescent="0.25">
      <c r="A167" t="s">
        <v>12</v>
      </c>
      <c r="B167" s="1">
        <v>6</v>
      </c>
      <c r="C167" s="1">
        <v>21</v>
      </c>
      <c r="D167" s="1">
        <v>7.89</v>
      </c>
      <c r="E167" s="1">
        <v>11.6</v>
      </c>
      <c r="F167" s="1" t="s">
        <v>13</v>
      </c>
      <c r="G167" s="2">
        <v>45482</v>
      </c>
      <c r="H167" s="2">
        <v>0.54555968750000006</v>
      </c>
      <c r="I167" s="1">
        <v>166</v>
      </c>
      <c r="J167" s="1">
        <v>955</v>
      </c>
      <c r="K167" s="1">
        <v>47.5</v>
      </c>
      <c r="L167" s="1" t="s">
        <v>179</v>
      </c>
    </row>
    <row r="168" spans="1:12" x14ac:dyDescent="0.25">
      <c r="A168" t="s">
        <v>12</v>
      </c>
      <c r="B168" s="1">
        <v>7</v>
      </c>
      <c r="C168" s="1">
        <v>21</v>
      </c>
      <c r="D168" s="1">
        <v>6.27</v>
      </c>
      <c r="E168" s="1">
        <v>11.9</v>
      </c>
      <c r="F168" s="1" t="s">
        <v>13</v>
      </c>
      <c r="G168" s="2">
        <v>45482</v>
      </c>
      <c r="H168" s="2">
        <v>0.54609146990740731</v>
      </c>
      <c r="I168" s="1">
        <v>167</v>
      </c>
      <c r="J168" s="1">
        <v>971</v>
      </c>
      <c r="K168" s="1">
        <v>47.4</v>
      </c>
      <c r="L168" s="1" t="s">
        <v>180</v>
      </c>
    </row>
    <row r="169" spans="1:12" x14ac:dyDescent="0.25">
      <c r="A169" t="s">
        <v>12</v>
      </c>
      <c r="B169" s="1">
        <v>8</v>
      </c>
      <c r="C169" s="1">
        <v>21</v>
      </c>
      <c r="D169" s="1">
        <v>9.09</v>
      </c>
      <c r="E169" s="1">
        <v>11.8</v>
      </c>
      <c r="F169" s="1" t="s">
        <v>13</v>
      </c>
      <c r="G169" s="2">
        <v>45482</v>
      </c>
      <c r="H169" s="2">
        <v>0.54658376157407407</v>
      </c>
      <c r="I169" s="1">
        <v>168</v>
      </c>
      <c r="J169" s="1">
        <v>966</v>
      </c>
      <c r="K169" s="1">
        <v>47.4</v>
      </c>
      <c r="L169" s="1" t="s">
        <v>181</v>
      </c>
    </row>
    <row r="170" spans="1:12" x14ac:dyDescent="0.25">
      <c r="A170" t="s">
        <v>12</v>
      </c>
      <c r="B170" s="1">
        <v>8</v>
      </c>
      <c r="C170" s="1">
        <v>22</v>
      </c>
      <c r="D170" s="1">
        <v>5.72</v>
      </c>
      <c r="E170" s="1">
        <v>11.5</v>
      </c>
      <c r="F170" s="1" t="s">
        <v>13</v>
      </c>
      <c r="G170" s="2">
        <v>45482</v>
      </c>
      <c r="H170" s="2">
        <v>0.54724285879629631</v>
      </c>
      <c r="I170" s="1">
        <v>169</v>
      </c>
      <c r="J170" s="1">
        <v>953</v>
      </c>
      <c r="K170" s="1">
        <v>48</v>
      </c>
      <c r="L170" s="1" t="s">
        <v>182</v>
      </c>
    </row>
    <row r="171" spans="1:12" x14ac:dyDescent="0.25">
      <c r="A171" t="s">
        <v>12</v>
      </c>
      <c r="B171" s="1">
        <v>7</v>
      </c>
      <c r="C171" s="1">
        <v>22</v>
      </c>
      <c r="D171" s="1">
        <v>4.6500000000000004</v>
      </c>
      <c r="E171" s="1">
        <v>12</v>
      </c>
      <c r="F171" s="1" t="s">
        <v>13</v>
      </c>
      <c r="G171" s="2">
        <v>45482</v>
      </c>
      <c r="H171" s="2">
        <v>0.54782276620370374</v>
      </c>
      <c r="I171" s="1">
        <v>170</v>
      </c>
      <c r="J171" s="1">
        <v>983</v>
      </c>
      <c r="K171" s="1">
        <v>48.2</v>
      </c>
      <c r="L171" s="1" t="s">
        <v>183</v>
      </c>
    </row>
    <row r="172" spans="1:12" x14ac:dyDescent="0.25">
      <c r="A172" t="s">
        <v>12</v>
      </c>
      <c r="B172" s="1">
        <v>6</v>
      </c>
      <c r="C172" s="1">
        <v>22</v>
      </c>
      <c r="D172" s="1">
        <v>7.46</v>
      </c>
      <c r="E172" s="1">
        <v>11.7</v>
      </c>
      <c r="F172" s="1" t="s">
        <v>13</v>
      </c>
      <c r="G172" s="2">
        <v>45482</v>
      </c>
      <c r="H172" s="2">
        <v>0.54840555555555559</v>
      </c>
      <c r="I172" s="1">
        <v>171</v>
      </c>
      <c r="J172" s="1">
        <v>964</v>
      </c>
      <c r="K172" s="1">
        <v>48</v>
      </c>
      <c r="L172" s="1" t="s">
        <v>184</v>
      </c>
    </row>
    <row r="173" spans="1:12" x14ac:dyDescent="0.25">
      <c r="A173" t="s">
        <v>12</v>
      </c>
      <c r="B173" s="1">
        <v>5</v>
      </c>
      <c r="C173" s="1">
        <v>22</v>
      </c>
      <c r="D173" s="1">
        <v>6.28</v>
      </c>
      <c r="E173" s="1">
        <v>11.6</v>
      </c>
      <c r="F173" s="1" t="s">
        <v>13</v>
      </c>
      <c r="G173" s="2">
        <v>45482</v>
      </c>
      <c r="H173" s="2">
        <v>0.54903260416666666</v>
      </c>
      <c r="I173" s="1">
        <v>172</v>
      </c>
      <c r="J173" s="1">
        <v>954</v>
      </c>
      <c r="K173" s="1">
        <v>48</v>
      </c>
      <c r="L173" s="1" t="s">
        <v>185</v>
      </c>
    </row>
    <row r="174" spans="1:12" x14ac:dyDescent="0.25">
      <c r="A174" t="s">
        <v>12</v>
      </c>
      <c r="B174" s="1">
        <v>4</v>
      </c>
      <c r="C174" s="1">
        <v>22</v>
      </c>
      <c r="D174" s="1">
        <v>12.42</v>
      </c>
      <c r="E174" s="1">
        <v>11.8</v>
      </c>
      <c r="F174" s="1" t="s">
        <v>13</v>
      </c>
      <c r="G174" s="2">
        <v>45482</v>
      </c>
      <c r="H174" s="2">
        <v>0.54956689814814819</v>
      </c>
      <c r="I174" s="1">
        <v>173</v>
      </c>
      <c r="J174" s="1">
        <v>965</v>
      </c>
      <c r="K174" s="1">
        <v>47.5</v>
      </c>
      <c r="L174" s="1" t="s">
        <v>186</v>
      </c>
    </row>
    <row r="175" spans="1:12" x14ac:dyDescent="0.25">
      <c r="A175" t="s">
        <v>12</v>
      </c>
      <c r="B175" s="1">
        <v>3</v>
      </c>
      <c r="C175" s="1">
        <v>22</v>
      </c>
      <c r="D175" s="1">
        <v>11.35</v>
      </c>
      <c r="E175" s="1">
        <v>11.7</v>
      </c>
      <c r="F175" s="1" t="s">
        <v>13</v>
      </c>
      <c r="G175" s="2">
        <v>45482</v>
      </c>
      <c r="H175" s="2">
        <v>0.55020193287037034</v>
      </c>
      <c r="I175" s="1">
        <v>174</v>
      </c>
      <c r="J175" s="1">
        <v>957</v>
      </c>
      <c r="K175" s="1">
        <v>47.5</v>
      </c>
      <c r="L175" s="1" t="s">
        <v>187</v>
      </c>
    </row>
    <row r="176" spans="1:12" x14ac:dyDescent="0.25">
      <c r="A176" t="s">
        <v>12</v>
      </c>
      <c r="B176" s="1">
        <v>2</v>
      </c>
      <c r="C176" s="1">
        <v>22</v>
      </c>
      <c r="D176" s="1">
        <v>11.65</v>
      </c>
      <c r="E176" s="1">
        <v>11.6</v>
      </c>
      <c r="F176" s="1" t="s">
        <v>13</v>
      </c>
      <c r="G176" s="2">
        <v>45482</v>
      </c>
      <c r="H176" s="2">
        <v>0.55068348379629628</v>
      </c>
      <c r="I176" s="1">
        <v>175</v>
      </c>
      <c r="J176" s="1">
        <v>949</v>
      </c>
      <c r="K176" s="1">
        <v>47.1</v>
      </c>
      <c r="L176" s="1" t="s">
        <v>188</v>
      </c>
    </row>
    <row r="177" spans="1:12" x14ac:dyDescent="0.25">
      <c r="A177" t="s">
        <v>12</v>
      </c>
      <c r="B177" s="1">
        <v>1</v>
      </c>
      <c r="C177" s="1">
        <v>22</v>
      </c>
      <c r="D177" s="1">
        <v>11.9</v>
      </c>
      <c r="E177" s="1">
        <v>11.5</v>
      </c>
      <c r="F177" s="1" t="s">
        <v>13</v>
      </c>
      <c r="G177" s="2">
        <v>45482</v>
      </c>
      <c r="H177" s="2">
        <v>0.55122924768518511</v>
      </c>
      <c r="I177" s="1">
        <v>176</v>
      </c>
      <c r="J177" s="1">
        <v>945</v>
      </c>
      <c r="K177" s="1">
        <v>46.9</v>
      </c>
      <c r="L177" s="1" t="s">
        <v>189</v>
      </c>
    </row>
    <row r="178" spans="1:12" x14ac:dyDescent="0.25">
      <c r="A178" t="s">
        <v>12</v>
      </c>
      <c r="B178" s="1">
        <v>1</v>
      </c>
      <c r="C178" s="1">
        <v>23</v>
      </c>
      <c r="D178" s="1">
        <v>9.84</v>
      </c>
      <c r="E178" s="1">
        <v>11.9</v>
      </c>
      <c r="F178" s="1" t="s">
        <v>13</v>
      </c>
      <c r="G178" s="2">
        <v>45482</v>
      </c>
      <c r="H178" s="2">
        <v>0.55179591435185193</v>
      </c>
      <c r="I178" s="1">
        <v>177</v>
      </c>
      <c r="J178" s="1">
        <v>974</v>
      </c>
      <c r="K178" s="1">
        <v>47.5</v>
      </c>
      <c r="L178" s="1" t="s">
        <v>190</v>
      </c>
    </row>
    <row r="179" spans="1:12" x14ac:dyDescent="0.25">
      <c r="A179" t="s">
        <v>12</v>
      </c>
      <c r="B179" s="1">
        <v>2</v>
      </c>
      <c r="C179" s="1">
        <v>23</v>
      </c>
      <c r="D179" s="1">
        <v>11.89</v>
      </c>
      <c r="E179" s="1">
        <v>11.8</v>
      </c>
      <c r="F179" s="1" t="s">
        <v>13</v>
      </c>
      <c r="G179" s="2">
        <v>45482</v>
      </c>
      <c r="H179" s="2">
        <v>0.55242832175925927</v>
      </c>
      <c r="I179" s="1">
        <v>178</v>
      </c>
      <c r="J179" s="1">
        <v>968</v>
      </c>
      <c r="K179" s="1">
        <v>47.8</v>
      </c>
      <c r="L179" s="1" t="s">
        <v>191</v>
      </c>
    </row>
    <row r="180" spans="1:12" x14ac:dyDescent="0.25">
      <c r="A180" t="s">
        <v>12</v>
      </c>
      <c r="B180" s="1">
        <v>3</v>
      </c>
      <c r="C180" s="1">
        <v>23</v>
      </c>
      <c r="D180" s="1">
        <v>10.23</v>
      </c>
      <c r="E180" s="1">
        <v>11.9</v>
      </c>
      <c r="F180" s="1" t="s">
        <v>13</v>
      </c>
      <c r="G180" s="2">
        <v>45482</v>
      </c>
      <c r="H180" s="2">
        <v>0.5530264236111111</v>
      </c>
      <c r="I180" s="1">
        <v>179</v>
      </c>
      <c r="J180" s="1">
        <v>977</v>
      </c>
      <c r="K180" s="1">
        <v>47.7</v>
      </c>
      <c r="L180" s="1" t="s">
        <v>192</v>
      </c>
    </row>
    <row r="181" spans="1:12" x14ac:dyDescent="0.25">
      <c r="A181" t="s">
        <v>12</v>
      </c>
      <c r="B181" s="1">
        <v>4</v>
      </c>
      <c r="C181" s="1">
        <v>23</v>
      </c>
      <c r="D181" s="1">
        <v>11.44</v>
      </c>
      <c r="E181" s="1">
        <v>12</v>
      </c>
      <c r="F181" s="1" t="s">
        <v>13</v>
      </c>
      <c r="G181" s="2">
        <v>45482</v>
      </c>
      <c r="H181" s="2">
        <v>0.55358434027777781</v>
      </c>
      <c r="I181" s="1">
        <v>180</v>
      </c>
      <c r="J181" s="1">
        <v>977</v>
      </c>
      <c r="K181" s="1">
        <v>47.5</v>
      </c>
      <c r="L181" s="1" t="s">
        <v>193</v>
      </c>
    </row>
    <row r="182" spans="1:12" x14ac:dyDescent="0.25">
      <c r="A182" t="s">
        <v>12</v>
      </c>
      <c r="B182" s="1">
        <v>5</v>
      </c>
      <c r="C182" s="1">
        <v>23</v>
      </c>
      <c r="D182" s="1">
        <v>7.96</v>
      </c>
      <c r="E182" s="1">
        <v>12.1</v>
      </c>
      <c r="F182" s="1" t="s">
        <v>13</v>
      </c>
      <c r="G182" s="2">
        <v>45482</v>
      </c>
      <c r="H182" s="2">
        <v>0.55408591435185195</v>
      </c>
      <c r="I182" s="1">
        <v>181</v>
      </c>
      <c r="J182" s="1">
        <v>987</v>
      </c>
      <c r="K182" s="1">
        <v>47.3</v>
      </c>
      <c r="L182" s="1" t="s">
        <v>194</v>
      </c>
    </row>
    <row r="183" spans="1:12" x14ac:dyDescent="0.25">
      <c r="A183" t="s">
        <v>12</v>
      </c>
      <c r="B183" s="1">
        <v>6</v>
      </c>
      <c r="C183" s="1">
        <v>23</v>
      </c>
      <c r="D183" s="1">
        <v>9.4499999999999993</v>
      </c>
      <c r="E183" s="1">
        <v>12.5</v>
      </c>
      <c r="F183" s="1" t="s">
        <v>13</v>
      </c>
      <c r="G183" s="2">
        <v>45482</v>
      </c>
      <c r="H183" s="2">
        <v>0.5546054050925926</v>
      </c>
      <c r="I183" s="1">
        <v>182</v>
      </c>
      <c r="J183" s="1">
        <v>1007</v>
      </c>
      <c r="K183" s="1">
        <v>47.1</v>
      </c>
      <c r="L183" s="1" t="s">
        <v>195</v>
      </c>
    </row>
    <row r="184" spans="1:12" x14ac:dyDescent="0.25">
      <c r="A184" t="s">
        <v>12</v>
      </c>
      <c r="B184" s="1">
        <v>7</v>
      </c>
      <c r="C184" s="1">
        <v>23</v>
      </c>
      <c r="D184" s="1">
        <v>6.42</v>
      </c>
      <c r="E184" s="1">
        <v>11.7</v>
      </c>
      <c r="F184" s="1" t="s">
        <v>13</v>
      </c>
      <c r="G184" s="2">
        <v>45482</v>
      </c>
      <c r="H184" s="2">
        <v>0.55515651620370376</v>
      </c>
      <c r="I184" s="1">
        <v>183</v>
      </c>
      <c r="J184" s="1">
        <v>959</v>
      </c>
      <c r="K184" s="1">
        <v>47.3</v>
      </c>
      <c r="L184" s="1" t="s">
        <v>196</v>
      </c>
    </row>
    <row r="185" spans="1:12" x14ac:dyDescent="0.25">
      <c r="A185" t="s">
        <v>12</v>
      </c>
      <c r="B185" s="1">
        <v>8</v>
      </c>
      <c r="C185" s="1">
        <v>23</v>
      </c>
      <c r="D185" s="1">
        <v>7.79</v>
      </c>
      <c r="E185" s="1">
        <v>11.7</v>
      </c>
      <c r="F185" s="1" t="s">
        <v>13</v>
      </c>
      <c r="G185" s="2">
        <v>45482</v>
      </c>
      <c r="H185" s="2">
        <v>0.55566126157407414</v>
      </c>
      <c r="I185" s="1">
        <v>184</v>
      </c>
      <c r="J185" s="1">
        <v>957</v>
      </c>
      <c r="K185" s="1">
        <v>47.4</v>
      </c>
      <c r="L185" s="1" t="s">
        <v>197</v>
      </c>
    </row>
    <row r="186" spans="1:12" x14ac:dyDescent="0.25">
      <c r="A186" t="s">
        <v>12</v>
      </c>
      <c r="B186" s="1">
        <v>8</v>
      </c>
      <c r="C186" s="1">
        <v>24</v>
      </c>
      <c r="D186" s="1">
        <v>8.67</v>
      </c>
      <c r="E186" s="1">
        <v>11.8</v>
      </c>
      <c r="F186" s="1" t="s">
        <v>13</v>
      </c>
      <c r="G186" s="2">
        <v>45482</v>
      </c>
      <c r="H186" s="2">
        <v>0.5564764699074074</v>
      </c>
      <c r="I186" s="1">
        <v>185</v>
      </c>
      <c r="J186" s="1">
        <v>970</v>
      </c>
      <c r="K186" s="1">
        <v>48.2</v>
      </c>
      <c r="L186" s="1" t="s">
        <v>198</v>
      </c>
    </row>
    <row r="187" spans="1:12" x14ac:dyDescent="0.25">
      <c r="A187" t="s">
        <v>12</v>
      </c>
      <c r="B187" s="1">
        <v>7</v>
      </c>
      <c r="C187" s="1">
        <v>24</v>
      </c>
      <c r="D187" s="1">
        <v>6.65</v>
      </c>
      <c r="E187" s="1">
        <v>11.6</v>
      </c>
      <c r="F187" s="1" t="s">
        <v>13</v>
      </c>
      <c r="G187" s="2">
        <v>45482</v>
      </c>
      <c r="H187" s="2">
        <v>0.55696489583333331</v>
      </c>
      <c r="I187" s="1">
        <v>186</v>
      </c>
      <c r="J187" s="1">
        <v>957</v>
      </c>
      <c r="K187" s="1">
        <v>47.8</v>
      </c>
      <c r="L187" s="1" t="s">
        <v>199</v>
      </c>
    </row>
    <row r="188" spans="1:12" x14ac:dyDescent="0.25">
      <c r="A188" t="s">
        <v>12</v>
      </c>
      <c r="B188" s="1">
        <v>6</v>
      </c>
      <c r="C188" s="1">
        <v>24</v>
      </c>
      <c r="D188" s="1">
        <v>9.39</v>
      </c>
      <c r="E188" s="1">
        <v>11.6</v>
      </c>
      <c r="F188" s="1" t="s">
        <v>13</v>
      </c>
      <c r="G188" s="2">
        <v>45482</v>
      </c>
      <c r="H188" s="2">
        <v>0.55748359953703697</v>
      </c>
      <c r="I188" s="1">
        <v>187</v>
      </c>
      <c r="J188" s="1">
        <v>956</v>
      </c>
      <c r="K188" s="1">
        <v>47.8</v>
      </c>
      <c r="L188" s="1" t="s">
        <v>200</v>
      </c>
    </row>
    <row r="189" spans="1:12" x14ac:dyDescent="0.25">
      <c r="A189" t="s">
        <v>12</v>
      </c>
      <c r="B189" s="1">
        <v>5</v>
      </c>
      <c r="C189" s="1">
        <v>24</v>
      </c>
      <c r="D189" s="1">
        <v>7.61</v>
      </c>
      <c r="E189" s="1">
        <v>10.5</v>
      </c>
      <c r="F189" s="1" t="s">
        <v>13</v>
      </c>
      <c r="G189" s="2">
        <v>45482</v>
      </c>
      <c r="H189" s="2">
        <v>0.55823819444444445</v>
      </c>
      <c r="I189" s="1">
        <v>188</v>
      </c>
      <c r="J189" s="1">
        <v>882</v>
      </c>
      <c r="K189" s="1">
        <v>47.8</v>
      </c>
      <c r="L189" s="1" t="s">
        <v>201</v>
      </c>
    </row>
    <row r="190" spans="1:12" x14ac:dyDescent="0.25">
      <c r="A190" t="s">
        <v>12</v>
      </c>
      <c r="B190" s="1">
        <v>4</v>
      </c>
      <c r="C190" s="1">
        <v>24</v>
      </c>
      <c r="D190" s="1">
        <v>13.05</v>
      </c>
      <c r="E190" s="1">
        <v>12.4</v>
      </c>
      <c r="F190" s="1" t="s">
        <v>13</v>
      </c>
      <c r="G190" s="2">
        <v>45482</v>
      </c>
      <c r="H190" s="2">
        <v>0.5587833333333333</v>
      </c>
      <c r="I190" s="1">
        <v>189</v>
      </c>
      <c r="J190" s="1">
        <v>1007</v>
      </c>
      <c r="K190" s="1">
        <v>47.8</v>
      </c>
      <c r="L190" s="1" t="s">
        <v>202</v>
      </c>
    </row>
    <row r="191" spans="1:12" x14ac:dyDescent="0.25">
      <c r="A191" t="s">
        <v>12</v>
      </c>
      <c r="B191" s="1">
        <v>3</v>
      </c>
      <c r="C191" s="1">
        <v>24</v>
      </c>
      <c r="D191" s="1">
        <v>12.76</v>
      </c>
      <c r="E191" s="1">
        <v>12.3</v>
      </c>
      <c r="F191" s="1" t="s">
        <v>13</v>
      </c>
      <c r="G191" s="2">
        <v>45482</v>
      </c>
      <c r="H191" s="2">
        <v>0.5593830671296296</v>
      </c>
      <c r="I191" s="1">
        <v>190</v>
      </c>
      <c r="J191" s="1">
        <v>998</v>
      </c>
      <c r="K191" s="1">
        <v>47.7</v>
      </c>
      <c r="L191" s="1" t="s">
        <v>203</v>
      </c>
    </row>
    <row r="192" spans="1:12" x14ac:dyDescent="0.25">
      <c r="A192" t="s">
        <v>12</v>
      </c>
      <c r="B192" s="1">
        <v>2</v>
      </c>
      <c r="C192" s="1">
        <v>24</v>
      </c>
      <c r="D192" s="1">
        <v>13.76</v>
      </c>
      <c r="E192" s="1">
        <v>12.7</v>
      </c>
      <c r="F192" s="1" t="s">
        <v>13</v>
      </c>
      <c r="G192" s="2">
        <v>45482</v>
      </c>
      <c r="H192" s="2">
        <v>0.55999996527777773</v>
      </c>
      <c r="I192" s="1">
        <v>191</v>
      </c>
      <c r="J192" s="1">
        <v>1025</v>
      </c>
      <c r="K192" s="1">
        <v>47.8</v>
      </c>
      <c r="L192" s="1" t="s">
        <v>204</v>
      </c>
    </row>
    <row r="193" spans="1:12" x14ac:dyDescent="0.25">
      <c r="A193" t="s">
        <v>12</v>
      </c>
      <c r="B193" s="1">
        <v>1</v>
      </c>
      <c r="C193" s="1">
        <v>24</v>
      </c>
      <c r="D193" s="1">
        <v>12.9</v>
      </c>
      <c r="E193" s="1">
        <v>12.4</v>
      </c>
      <c r="F193" s="1" t="s">
        <v>13</v>
      </c>
      <c r="G193" s="2">
        <v>45482</v>
      </c>
      <c r="H193" s="2">
        <v>0.56066663194444444</v>
      </c>
      <c r="I193" s="1">
        <v>192</v>
      </c>
      <c r="J193" s="1">
        <v>1006</v>
      </c>
      <c r="K193" s="1">
        <v>47.5</v>
      </c>
      <c r="L193" s="1" t="s">
        <v>205</v>
      </c>
    </row>
    <row r="194" spans="1:12" x14ac:dyDescent="0.25">
      <c r="A194" t="s">
        <v>12</v>
      </c>
      <c r="B194" s="1">
        <v>1</v>
      </c>
      <c r="C194" s="1">
        <v>25</v>
      </c>
      <c r="D194" s="1">
        <v>10.78</v>
      </c>
      <c r="E194" s="1">
        <v>11.4</v>
      </c>
      <c r="F194" s="1" t="s">
        <v>13</v>
      </c>
      <c r="G194" s="2">
        <v>45482</v>
      </c>
      <c r="H194" s="2">
        <v>0.5633614930555555</v>
      </c>
      <c r="I194" s="1">
        <v>193</v>
      </c>
      <c r="J194" s="1">
        <v>950</v>
      </c>
      <c r="K194" s="1">
        <v>49.6</v>
      </c>
      <c r="L194" s="1" t="s">
        <v>206</v>
      </c>
    </row>
    <row r="195" spans="1:12" x14ac:dyDescent="0.25">
      <c r="A195" t="s">
        <v>12</v>
      </c>
      <c r="B195" s="1">
        <v>2</v>
      </c>
      <c r="C195" s="1">
        <v>25</v>
      </c>
      <c r="D195" s="1">
        <v>13.38</v>
      </c>
      <c r="E195" s="1">
        <v>11.6</v>
      </c>
      <c r="F195" s="1" t="s">
        <v>13</v>
      </c>
      <c r="G195" s="2">
        <v>45482</v>
      </c>
      <c r="H195" s="2">
        <v>0.563937349537037</v>
      </c>
      <c r="I195" s="1">
        <v>194</v>
      </c>
      <c r="J195" s="1">
        <v>962</v>
      </c>
      <c r="K195" s="1">
        <v>49.3</v>
      </c>
      <c r="L195" s="1" t="s">
        <v>207</v>
      </c>
    </row>
    <row r="196" spans="1:12" x14ac:dyDescent="0.25">
      <c r="A196" t="s">
        <v>12</v>
      </c>
      <c r="B196" s="1">
        <v>3</v>
      </c>
      <c r="C196" s="1">
        <v>25</v>
      </c>
      <c r="D196" s="1">
        <v>10.94</v>
      </c>
      <c r="E196" s="1">
        <v>11.5</v>
      </c>
      <c r="F196" s="1" t="s">
        <v>13</v>
      </c>
      <c r="G196" s="2">
        <v>45482</v>
      </c>
      <c r="H196" s="2">
        <v>0.56451114583333339</v>
      </c>
      <c r="I196" s="1">
        <v>195</v>
      </c>
      <c r="J196" s="1">
        <v>957</v>
      </c>
      <c r="K196" s="1">
        <v>48.8</v>
      </c>
      <c r="L196" s="1" t="s">
        <v>208</v>
      </c>
    </row>
    <row r="197" spans="1:12" x14ac:dyDescent="0.25">
      <c r="A197" t="s">
        <v>12</v>
      </c>
      <c r="B197" s="1">
        <v>4</v>
      </c>
      <c r="C197" s="1">
        <v>25</v>
      </c>
      <c r="D197" s="1">
        <v>12.16</v>
      </c>
      <c r="E197" s="1">
        <v>11.4</v>
      </c>
      <c r="F197" s="1" t="s">
        <v>13</v>
      </c>
      <c r="G197" s="2">
        <v>45482</v>
      </c>
      <c r="H197" s="2">
        <v>0.56508194444444448</v>
      </c>
      <c r="I197" s="1">
        <v>196</v>
      </c>
      <c r="J197" s="1">
        <v>946</v>
      </c>
      <c r="K197" s="1">
        <v>48.2</v>
      </c>
      <c r="L197" s="1" t="s">
        <v>209</v>
      </c>
    </row>
    <row r="198" spans="1:12" x14ac:dyDescent="0.25">
      <c r="A198" t="s">
        <v>12</v>
      </c>
      <c r="B198" s="1">
        <v>5</v>
      </c>
      <c r="C198" s="1">
        <v>25</v>
      </c>
      <c r="D198" s="1">
        <v>7.19</v>
      </c>
      <c r="E198" s="1">
        <v>11.5</v>
      </c>
      <c r="F198" s="1" t="s">
        <v>13</v>
      </c>
      <c r="G198" s="2">
        <v>45482</v>
      </c>
      <c r="H198" s="2">
        <v>0.56552210648148149</v>
      </c>
      <c r="I198" s="1">
        <v>197</v>
      </c>
      <c r="J198" s="1">
        <v>947</v>
      </c>
      <c r="K198" s="1">
        <v>48</v>
      </c>
      <c r="L198" s="1" t="s">
        <v>210</v>
      </c>
    </row>
    <row r="199" spans="1:12" x14ac:dyDescent="0.25">
      <c r="A199" t="s">
        <v>12</v>
      </c>
      <c r="B199" s="1">
        <v>6</v>
      </c>
      <c r="C199" s="1">
        <v>25</v>
      </c>
      <c r="D199" s="1">
        <v>9.39</v>
      </c>
      <c r="E199" s="1">
        <v>11.6</v>
      </c>
      <c r="F199" s="1" t="s">
        <v>13</v>
      </c>
      <c r="G199" s="2">
        <v>45482</v>
      </c>
      <c r="H199" s="2">
        <v>0.56623545138888887</v>
      </c>
      <c r="I199" s="1">
        <v>198</v>
      </c>
      <c r="J199" s="1">
        <v>955</v>
      </c>
      <c r="K199" s="1">
        <v>47.7</v>
      </c>
      <c r="L199" s="1" t="s">
        <v>211</v>
      </c>
    </row>
    <row r="200" spans="1:12" x14ac:dyDescent="0.25">
      <c r="A200" t="s">
        <v>12</v>
      </c>
      <c r="B200" s="1">
        <v>7</v>
      </c>
      <c r="C200" s="1">
        <v>25</v>
      </c>
      <c r="D200" s="1">
        <v>6.2</v>
      </c>
      <c r="E200" s="1">
        <v>11.9</v>
      </c>
      <c r="F200" s="1" t="s">
        <v>13</v>
      </c>
      <c r="G200" s="2">
        <v>45482</v>
      </c>
      <c r="H200" s="2">
        <v>0.56682218750000002</v>
      </c>
      <c r="I200" s="1">
        <v>199</v>
      </c>
      <c r="J200" s="1">
        <v>973</v>
      </c>
      <c r="K200" s="1">
        <v>47.7</v>
      </c>
      <c r="L200" s="1" t="s">
        <v>212</v>
      </c>
    </row>
    <row r="201" spans="1:12" x14ac:dyDescent="0.25">
      <c r="A201" t="s">
        <v>12</v>
      </c>
      <c r="B201" s="1">
        <v>8</v>
      </c>
      <c r="C201" s="1">
        <v>25</v>
      </c>
      <c r="D201" s="1">
        <v>8.25</v>
      </c>
      <c r="E201" s="1">
        <v>11.9</v>
      </c>
      <c r="F201" s="1" t="s">
        <v>13</v>
      </c>
      <c r="G201" s="2">
        <v>45482</v>
      </c>
      <c r="H201" s="2">
        <v>0.56729447916666664</v>
      </c>
      <c r="I201" s="1">
        <v>200</v>
      </c>
      <c r="J201" s="1">
        <v>974</v>
      </c>
      <c r="K201" s="1">
        <v>47.7</v>
      </c>
      <c r="L201" s="1" t="s">
        <v>213</v>
      </c>
    </row>
    <row r="202" spans="1:12" x14ac:dyDescent="0.25">
      <c r="A202" t="s">
        <v>12</v>
      </c>
      <c r="B202" s="1">
        <v>8</v>
      </c>
      <c r="C202" s="1">
        <v>26</v>
      </c>
      <c r="D202" s="1">
        <v>9.4600000000000009</v>
      </c>
      <c r="E202" s="1">
        <v>12.2</v>
      </c>
      <c r="F202" s="1" t="s">
        <v>13</v>
      </c>
      <c r="G202" s="2">
        <v>45482</v>
      </c>
      <c r="H202" s="2">
        <v>0.56812739583333327</v>
      </c>
      <c r="I202" s="1">
        <v>201</v>
      </c>
      <c r="J202" s="1">
        <v>999</v>
      </c>
      <c r="K202" s="1">
        <v>48.1</v>
      </c>
      <c r="L202" s="1" t="s">
        <v>214</v>
      </c>
    </row>
    <row r="203" spans="1:12" x14ac:dyDescent="0.25">
      <c r="A203" t="s">
        <v>12</v>
      </c>
      <c r="B203" s="1">
        <v>7</v>
      </c>
      <c r="C203" s="1">
        <v>26</v>
      </c>
      <c r="D203" s="1">
        <v>6.76</v>
      </c>
      <c r="E203" s="1">
        <v>11.9</v>
      </c>
      <c r="F203" s="1" t="s">
        <v>13</v>
      </c>
      <c r="G203" s="2">
        <v>45482</v>
      </c>
      <c r="H203" s="2">
        <v>0.56869467592592593</v>
      </c>
      <c r="I203" s="1">
        <v>202</v>
      </c>
      <c r="J203" s="1">
        <v>978</v>
      </c>
      <c r="K203" s="1">
        <v>47.8</v>
      </c>
      <c r="L203" s="1" t="s">
        <v>215</v>
      </c>
    </row>
    <row r="204" spans="1:12" x14ac:dyDescent="0.25">
      <c r="A204" t="s">
        <v>12</v>
      </c>
      <c r="B204" s="1">
        <v>6</v>
      </c>
      <c r="C204" s="1">
        <v>26</v>
      </c>
      <c r="D204" s="1">
        <v>8.8000000000000007</v>
      </c>
      <c r="E204" s="1">
        <v>11.9</v>
      </c>
      <c r="F204" s="1" t="s">
        <v>13</v>
      </c>
      <c r="G204" s="2">
        <v>45482</v>
      </c>
      <c r="H204" s="2">
        <v>0.56936493055555559</v>
      </c>
      <c r="I204" s="1">
        <v>203</v>
      </c>
      <c r="J204" s="1">
        <v>975</v>
      </c>
      <c r="K204" s="1">
        <v>48</v>
      </c>
      <c r="L204" s="1" t="s">
        <v>216</v>
      </c>
    </row>
    <row r="205" spans="1:12" x14ac:dyDescent="0.25">
      <c r="A205" t="s">
        <v>12</v>
      </c>
      <c r="B205" s="1">
        <v>5</v>
      </c>
      <c r="C205" s="1">
        <v>26</v>
      </c>
      <c r="D205" s="1">
        <v>7.14</v>
      </c>
      <c r="E205" s="1">
        <v>11.8</v>
      </c>
      <c r="F205" s="1" t="s">
        <v>13</v>
      </c>
      <c r="G205" s="2">
        <v>45482</v>
      </c>
      <c r="H205" s="2">
        <v>0.56988568287037034</v>
      </c>
      <c r="I205" s="1">
        <v>204</v>
      </c>
      <c r="J205" s="1">
        <v>967</v>
      </c>
      <c r="K205" s="1">
        <v>47.8</v>
      </c>
      <c r="L205" s="1" t="s">
        <v>217</v>
      </c>
    </row>
    <row r="206" spans="1:12" x14ac:dyDescent="0.25">
      <c r="A206" t="s">
        <v>12</v>
      </c>
      <c r="B206" s="1">
        <v>4</v>
      </c>
      <c r="C206" s="1">
        <v>26</v>
      </c>
      <c r="D206" s="1">
        <v>11.84</v>
      </c>
      <c r="E206" s="1">
        <v>12.5</v>
      </c>
      <c r="F206" s="1" t="s">
        <v>13</v>
      </c>
      <c r="G206" s="2">
        <v>45482</v>
      </c>
      <c r="H206" s="2">
        <v>0.57051562499999997</v>
      </c>
      <c r="I206" s="1">
        <v>205</v>
      </c>
      <c r="J206" s="1">
        <v>1011</v>
      </c>
      <c r="K206" s="1">
        <v>48</v>
      </c>
      <c r="L206" s="1" t="s">
        <v>218</v>
      </c>
    </row>
    <row r="207" spans="1:12" x14ac:dyDescent="0.25">
      <c r="A207" t="s">
        <v>12</v>
      </c>
      <c r="B207" s="1">
        <v>3</v>
      </c>
      <c r="C207" s="1">
        <v>26</v>
      </c>
      <c r="D207" s="1">
        <v>11.39</v>
      </c>
      <c r="E207" s="1">
        <v>12.2</v>
      </c>
      <c r="F207" s="1" t="s">
        <v>13</v>
      </c>
      <c r="G207" s="2">
        <v>45482</v>
      </c>
      <c r="H207" s="2">
        <v>0.57096848379629628</v>
      </c>
      <c r="I207" s="1">
        <v>206</v>
      </c>
      <c r="J207" s="1">
        <v>992</v>
      </c>
      <c r="K207" s="1">
        <v>47.7</v>
      </c>
      <c r="L207" s="1" t="s">
        <v>219</v>
      </c>
    </row>
    <row r="208" spans="1:12" x14ac:dyDescent="0.25">
      <c r="A208" t="s">
        <v>12</v>
      </c>
      <c r="B208" s="1">
        <v>2</v>
      </c>
      <c r="C208" s="1">
        <v>26</v>
      </c>
      <c r="D208" s="1">
        <v>12.86</v>
      </c>
      <c r="E208" s="1">
        <v>12.4</v>
      </c>
      <c r="F208" s="1" t="s">
        <v>13</v>
      </c>
      <c r="G208" s="2">
        <v>45482</v>
      </c>
      <c r="H208" s="2">
        <v>0.57144440972222221</v>
      </c>
      <c r="I208" s="1">
        <v>207</v>
      </c>
      <c r="J208" s="1">
        <v>1004</v>
      </c>
      <c r="K208" s="1">
        <v>47.7</v>
      </c>
      <c r="L208" s="1" t="s">
        <v>220</v>
      </c>
    </row>
    <row r="209" spans="1:12" x14ac:dyDescent="0.25">
      <c r="A209" t="s">
        <v>12</v>
      </c>
      <c r="B209" s="1">
        <v>1</v>
      </c>
      <c r="C209" s="1">
        <v>26</v>
      </c>
      <c r="D209" s="1">
        <v>11.74</v>
      </c>
      <c r="E209" s="1">
        <v>12.3</v>
      </c>
      <c r="F209" s="1" t="s">
        <v>13</v>
      </c>
      <c r="G209" s="2">
        <v>45482</v>
      </c>
      <c r="H209" s="2">
        <v>0.57195489583333337</v>
      </c>
      <c r="I209" s="1">
        <v>208</v>
      </c>
      <c r="J209" s="1">
        <v>1000</v>
      </c>
      <c r="K209" s="1">
        <v>47.5</v>
      </c>
      <c r="L209" s="1" t="s">
        <v>221</v>
      </c>
    </row>
    <row r="210" spans="1:12" x14ac:dyDescent="0.25">
      <c r="A210" t="s">
        <v>12</v>
      </c>
      <c r="B210" s="1">
        <v>1</v>
      </c>
      <c r="C210" s="1">
        <v>27</v>
      </c>
      <c r="D210" s="1">
        <v>10.71</v>
      </c>
      <c r="E210" s="1">
        <v>11.4</v>
      </c>
      <c r="F210" s="1" t="s">
        <v>13</v>
      </c>
      <c r="G210" s="2">
        <v>45482</v>
      </c>
      <c r="H210" s="2">
        <v>0.5727071412037037</v>
      </c>
      <c r="I210" s="1">
        <v>209</v>
      </c>
      <c r="J210" s="1">
        <v>946</v>
      </c>
      <c r="K210" s="1">
        <v>48</v>
      </c>
      <c r="L210" s="1" t="s">
        <v>222</v>
      </c>
    </row>
    <row r="211" spans="1:12" x14ac:dyDescent="0.25">
      <c r="A211" t="s">
        <v>12</v>
      </c>
      <c r="B211" s="1">
        <v>2</v>
      </c>
      <c r="C211" s="1">
        <v>27</v>
      </c>
      <c r="D211" s="1">
        <v>11.26</v>
      </c>
      <c r="E211" s="1">
        <v>11.2</v>
      </c>
      <c r="F211" s="1" t="s">
        <v>13</v>
      </c>
      <c r="G211" s="2">
        <v>45482</v>
      </c>
      <c r="H211" s="2">
        <v>0.57323133101851853</v>
      </c>
      <c r="I211" s="1">
        <v>210</v>
      </c>
      <c r="J211" s="1">
        <v>930</v>
      </c>
      <c r="K211" s="1">
        <v>48</v>
      </c>
      <c r="L211" s="1" t="s">
        <v>223</v>
      </c>
    </row>
    <row r="212" spans="1:12" x14ac:dyDescent="0.25">
      <c r="A212" t="s">
        <v>12</v>
      </c>
      <c r="B212" s="1">
        <v>3</v>
      </c>
      <c r="C212" s="1">
        <v>27</v>
      </c>
      <c r="D212" s="1">
        <v>11.01</v>
      </c>
      <c r="E212" s="1">
        <v>11.3</v>
      </c>
      <c r="F212" s="1" t="s">
        <v>13</v>
      </c>
      <c r="G212" s="2">
        <v>45482</v>
      </c>
      <c r="H212" s="2">
        <v>0.57375405092592591</v>
      </c>
      <c r="I212" s="1">
        <v>211</v>
      </c>
      <c r="J212" s="1">
        <v>940</v>
      </c>
      <c r="K212" s="1">
        <v>48</v>
      </c>
      <c r="L212" s="1" t="s">
        <v>224</v>
      </c>
    </row>
    <row r="213" spans="1:12" x14ac:dyDescent="0.25">
      <c r="A213" t="s">
        <v>12</v>
      </c>
      <c r="B213" s="1">
        <v>4</v>
      </c>
      <c r="C213" s="1">
        <v>27</v>
      </c>
      <c r="D213" s="1">
        <v>11.52</v>
      </c>
      <c r="E213" s="1">
        <v>11.2</v>
      </c>
      <c r="F213" s="1" t="s">
        <v>13</v>
      </c>
      <c r="G213" s="2">
        <v>45482</v>
      </c>
      <c r="H213" s="2">
        <v>0.57448734953703706</v>
      </c>
      <c r="I213" s="1">
        <v>212</v>
      </c>
      <c r="J213" s="1">
        <v>927</v>
      </c>
      <c r="K213" s="1">
        <v>47.8</v>
      </c>
      <c r="L213" s="1" t="s">
        <v>225</v>
      </c>
    </row>
    <row r="214" spans="1:12" x14ac:dyDescent="0.25">
      <c r="A214" t="s">
        <v>12</v>
      </c>
      <c r="B214" s="1">
        <v>5</v>
      </c>
      <c r="C214" s="1">
        <v>27</v>
      </c>
      <c r="D214" s="1">
        <v>6.39</v>
      </c>
      <c r="E214" s="1">
        <v>11.8</v>
      </c>
      <c r="F214" s="1" t="s">
        <v>13</v>
      </c>
      <c r="G214" s="2">
        <v>45482</v>
      </c>
      <c r="H214" s="2">
        <v>0.57496087962962961</v>
      </c>
      <c r="I214" s="1">
        <v>213</v>
      </c>
      <c r="J214" s="1">
        <v>967</v>
      </c>
      <c r="K214" s="1">
        <v>47.5</v>
      </c>
      <c r="L214" s="1" t="s">
        <v>226</v>
      </c>
    </row>
    <row r="215" spans="1:12" x14ac:dyDescent="0.25">
      <c r="A215" t="s">
        <v>12</v>
      </c>
      <c r="B215" s="1">
        <v>6</v>
      </c>
      <c r="C215" s="1">
        <v>27</v>
      </c>
      <c r="D215" s="1">
        <v>8.6</v>
      </c>
      <c r="E215" s="1">
        <v>11.6</v>
      </c>
      <c r="F215" s="1" t="s">
        <v>13</v>
      </c>
      <c r="G215" s="2">
        <v>45482</v>
      </c>
      <c r="H215" s="2">
        <v>0.57553101851851851</v>
      </c>
      <c r="I215" s="1">
        <v>214</v>
      </c>
      <c r="J215" s="1">
        <v>955</v>
      </c>
      <c r="K215" s="1">
        <v>47.4</v>
      </c>
      <c r="L215" s="1" t="s">
        <v>227</v>
      </c>
    </row>
    <row r="216" spans="1:12" x14ac:dyDescent="0.25">
      <c r="A216" t="s">
        <v>12</v>
      </c>
      <c r="B216" s="1">
        <v>7</v>
      </c>
      <c r="C216" s="1">
        <v>27</v>
      </c>
      <c r="D216" s="1">
        <v>6.41</v>
      </c>
      <c r="E216" s="1">
        <v>11.7</v>
      </c>
      <c r="F216" s="1" t="s">
        <v>13</v>
      </c>
      <c r="G216" s="2">
        <v>45482</v>
      </c>
      <c r="H216" s="2">
        <v>0.57594829861111108</v>
      </c>
      <c r="I216" s="1">
        <v>215</v>
      </c>
      <c r="J216" s="1">
        <v>957</v>
      </c>
      <c r="K216" s="1">
        <v>47.3</v>
      </c>
      <c r="L216" s="1" t="s">
        <v>228</v>
      </c>
    </row>
    <row r="217" spans="1:12" x14ac:dyDescent="0.25">
      <c r="A217" t="s">
        <v>12</v>
      </c>
      <c r="B217" s="1">
        <v>8</v>
      </c>
      <c r="C217" s="1">
        <v>27</v>
      </c>
      <c r="D217" s="1">
        <v>8.8800000000000008</v>
      </c>
      <c r="E217" s="1">
        <v>12.5</v>
      </c>
      <c r="F217" s="1" t="s">
        <v>13</v>
      </c>
      <c r="G217" s="2">
        <v>45482</v>
      </c>
      <c r="H217" s="2">
        <v>0.57648302083333336</v>
      </c>
      <c r="I217" s="1">
        <v>216</v>
      </c>
      <c r="J217" s="1">
        <v>1007</v>
      </c>
      <c r="K217" s="1">
        <v>47.1</v>
      </c>
      <c r="L217" s="1" t="s">
        <v>229</v>
      </c>
    </row>
    <row r="218" spans="1:12" x14ac:dyDescent="0.25">
      <c r="A218" t="s">
        <v>12</v>
      </c>
      <c r="B218" s="1">
        <v>8</v>
      </c>
      <c r="C218" s="1">
        <v>28</v>
      </c>
      <c r="D218" s="1">
        <v>9.7100000000000009</v>
      </c>
      <c r="E218" s="1">
        <v>12</v>
      </c>
      <c r="F218" s="1" t="s">
        <v>13</v>
      </c>
      <c r="G218" s="2">
        <v>45482</v>
      </c>
      <c r="H218" s="2">
        <v>0.57723325231481482</v>
      </c>
      <c r="I218" s="1">
        <v>217</v>
      </c>
      <c r="J218" s="1">
        <v>980</v>
      </c>
      <c r="K218" s="1">
        <v>47.7</v>
      </c>
      <c r="L218" s="1" t="s">
        <v>230</v>
      </c>
    </row>
    <row r="219" spans="1:12" x14ac:dyDescent="0.25">
      <c r="A219" t="s">
        <v>12</v>
      </c>
      <c r="B219" s="1">
        <v>7</v>
      </c>
      <c r="C219" s="1">
        <v>28</v>
      </c>
      <c r="D219" s="1">
        <v>7</v>
      </c>
      <c r="E219" s="1">
        <v>12.1</v>
      </c>
      <c r="F219" s="1" t="s">
        <v>13</v>
      </c>
      <c r="G219" s="2">
        <v>45482</v>
      </c>
      <c r="H219" s="2">
        <v>0.5778805208333333</v>
      </c>
      <c r="I219" s="1">
        <v>218</v>
      </c>
      <c r="J219" s="1">
        <v>987</v>
      </c>
      <c r="K219" s="1">
        <v>47.8</v>
      </c>
      <c r="L219" s="1" t="s">
        <v>231</v>
      </c>
    </row>
    <row r="220" spans="1:12" x14ac:dyDescent="0.25">
      <c r="A220" t="s">
        <v>12</v>
      </c>
      <c r="B220" s="1">
        <v>6</v>
      </c>
      <c r="C220" s="1">
        <v>28</v>
      </c>
      <c r="D220" s="1">
        <v>10.38</v>
      </c>
      <c r="E220" s="1">
        <v>12.2</v>
      </c>
      <c r="F220" s="1" t="s">
        <v>13</v>
      </c>
      <c r="G220" s="2">
        <v>45482</v>
      </c>
      <c r="H220" s="2">
        <v>0.57848278935185193</v>
      </c>
      <c r="I220" s="1">
        <v>219</v>
      </c>
      <c r="J220" s="1">
        <v>997</v>
      </c>
      <c r="K220" s="1">
        <v>48</v>
      </c>
      <c r="L220" s="1" t="s">
        <v>232</v>
      </c>
    </row>
    <row r="221" spans="1:12" x14ac:dyDescent="0.25">
      <c r="A221" t="s">
        <v>12</v>
      </c>
      <c r="B221" s="1">
        <v>5</v>
      </c>
      <c r="C221" s="1">
        <v>28</v>
      </c>
      <c r="D221" s="1">
        <v>8.19</v>
      </c>
      <c r="E221" s="1">
        <v>11.9</v>
      </c>
      <c r="F221" s="1" t="s">
        <v>13</v>
      </c>
      <c r="G221" s="2">
        <v>45482</v>
      </c>
      <c r="H221" s="2">
        <v>0.57897835648148144</v>
      </c>
      <c r="I221" s="1">
        <v>220</v>
      </c>
      <c r="J221" s="1">
        <v>975</v>
      </c>
      <c r="K221" s="1">
        <v>47.5</v>
      </c>
      <c r="L221" s="1" t="s">
        <v>233</v>
      </c>
    </row>
    <row r="222" spans="1:12" x14ac:dyDescent="0.25">
      <c r="A222" t="s">
        <v>12</v>
      </c>
      <c r="B222" s="1">
        <v>4</v>
      </c>
      <c r="C222" s="1">
        <v>28</v>
      </c>
      <c r="D222" s="1">
        <v>11.39</v>
      </c>
      <c r="E222" s="1">
        <v>11.4</v>
      </c>
      <c r="F222" s="1" t="s">
        <v>13</v>
      </c>
      <c r="G222" s="2">
        <v>45482</v>
      </c>
      <c r="H222" s="2">
        <v>0.57954085648148157</v>
      </c>
      <c r="I222" s="1">
        <v>221</v>
      </c>
      <c r="J222" s="1">
        <v>939</v>
      </c>
      <c r="K222" s="1">
        <v>47.7</v>
      </c>
      <c r="L222" s="1" t="s">
        <v>234</v>
      </c>
    </row>
    <row r="223" spans="1:12" x14ac:dyDescent="0.25">
      <c r="A223" t="s">
        <v>12</v>
      </c>
      <c r="B223" s="1">
        <v>3</v>
      </c>
      <c r="C223" s="1">
        <v>28</v>
      </c>
      <c r="D223" s="1">
        <v>11</v>
      </c>
      <c r="E223" s="1">
        <v>11.2</v>
      </c>
      <c r="F223" s="1" t="s">
        <v>13</v>
      </c>
      <c r="G223" s="2">
        <v>45482</v>
      </c>
      <c r="H223" s="2">
        <v>0.58010049768518523</v>
      </c>
      <c r="I223" s="1">
        <v>222</v>
      </c>
      <c r="J223" s="1">
        <v>927</v>
      </c>
      <c r="K223" s="1">
        <v>47.4</v>
      </c>
      <c r="L223" s="1" t="s">
        <v>235</v>
      </c>
    </row>
    <row r="224" spans="1:12" x14ac:dyDescent="0.25">
      <c r="A224" t="s">
        <v>12</v>
      </c>
      <c r="B224" s="1">
        <v>2</v>
      </c>
      <c r="C224" s="1">
        <v>28</v>
      </c>
      <c r="D224" s="1">
        <v>11.3</v>
      </c>
      <c r="E224" s="1">
        <v>11.3</v>
      </c>
      <c r="F224" s="1" t="s">
        <v>13</v>
      </c>
      <c r="G224" s="2">
        <v>45482</v>
      </c>
      <c r="H224" s="2">
        <v>0.5806672800925925</v>
      </c>
      <c r="I224" s="1">
        <v>223</v>
      </c>
      <c r="J224" s="1">
        <v>934</v>
      </c>
      <c r="K224" s="1">
        <v>47.7</v>
      </c>
      <c r="L224" s="1" t="s">
        <v>236</v>
      </c>
    </row>
    <row r="225" spans="1:12" x14ac:dyDescent="0.25">
      <c r="A225" t="s">
        <v>12</v>
      </c>
      <c r="B225" s="1">
        <v>1</v>
      </c>
      <c r="C225" s="1">
        <v>28</v>
      </c>
      <c r="D225" s="1">
        <v>10.37</v>
      </c>
      <c r="E225" s="1">
        <v>11.3</v>
      </c>
      <c r="F225" s="1" t="s">
        <v>13</v>
      </c>
      <c r="G225" s="2">
        <v>45482</v>
      </c>
      <c r="H225" s="2">
        <v>0.58125682870370377</v>
      </c>
      <c r="I225" s="1">
        <v>224</v>
      </c>
      <c r="J225" s="1">
        <v>938</v>
      </c>
      <c r="K225" s="1">
        <v>48.1</v>
      </c>
      <c r="L225" s="1" t="s">
        <v>237</v>
      </c>
    </row>
    <row r="226" spans="1:12" x14ac:dyDescent="0.25">
      <c r="A226" t="s">
        <v>12</v>
      </c>
      <c r="B226" s="1">
        <v>1</v>
      </c>
      <c r="C226" s="1">
        <v>29</v>
      </c>
      <c r="D226" s="1">
        <v>10.71</v>
      </c>
      <c r="E226" s="1">
        <v>11.8</v>
      </c>
      <c r="F226" s="1" t="s">
        <v>13</v>
      </c>
      <c r="G226" s="2">
        <v>45482</v>
      </c>
      <c r="H226" s="2">
        <v>0.58380879629629634</v>
      </c>
      <c r="I226" s="1">
        <v>225</v>
      </c>
      <c r="J226" s="1">
        <v>985</v>
      </c>
      <c r="K226" s="1">
        <v>51.1</v>
      </c>
      <c r="L226" s="1" t="s">
        <v>238</v>
      </c>
    </row>
    <row r="227" spans="1:12" x14ac:dyDescent="0.25">
      <c r="A227" t="s">
        <v>12</v>
      </c>
      <c r="B227" s="1">
        <v>2</v>
      </c>
      <c r="C227" s="1">
        <v>29</v>
      </c>
      <c r="D227" s="1">
        <v>12.09</v>
      </c>
      <c r="E227" s="1">
        <v>11.5</v>
      </c>
      <c r="F227" s="1" t="s">
        <v>13</v>
      </c>
      <c r="G227" s="2">
        <v>45482</v>
      </c>
      <c r="H227" s="2">
        <v>0.58453391203703697</v>
      </c>
      <c r="I227" s="1">
        <v>226</v>
      </c>
      <c r="J227" s="1">
        <v>963</v>
      </c>
      <c r="K227" s="1">
        <v>49.9</v>
      </c>
      <c r="L227" s="1" t="s">
        <v>239</v>
      </c>
    </row>
    <row r="228" spans="1:12" x14ac:dyDescent="0.25">
      <c r="A228" t="s">
        <v>12</v>
      </c>
      <c r="B228" s="1">
        <v>3</v>
      </c>
      <c r="C228" s="1">
        <v>29</v>
      </c>
      <c r="D228" s="1">
        <v>11.16</v>
      </c>
      <c r="E228" s="1">
        <v>11.7</v>
      </c>
      <c r="F228" s="1" t="s">
        <v>13</v>
      </c>
      <c r="G228" s="2">
        <v>45482</v>
      </c>
      <c r="H228" s="2">
        <v>0.58506038194444443</v>
      </c>
      <c r="I228" s="1">
        <v>227</v>
      </c>
      <c r="J228" s="1">
        <v>975</v>
      </c>
      <c r="K228" s="1">
        <v>49.6</v>
      </c>
      <c r="L228" s="1" t="s">
        <v>240</v>
      </c>
    </row>
    <row r="229" spans="1:12" x14ac:dyDescent="0.25">
      <c r="A229" t="s">
        <v>12</v>
      </c>
      <c r="B229" s="1">
        <v>4</v>
      </c>
      <c r="C229" s="1">
        <v>29</v>
      </c>
      <c r="D229" s="1">
        <v>11.54</v>
      </c>
      <c r="E229" s="1">
        <v>11.8</v>
      </c>
      <c r="F229" s="1" t="s">
        <v>13</v>
      </c>
      <c r="G229" s="2">
        <v>45482</v>
      </c>
      <c r="H229" s="2">
        <v>0.58562885416666666</v>
      </c>
      <c r="I229" s="1">
        <v>228</v>
      </c>
      <c r="J229" s="1">
        <v>976</v>
      </c>
      <c r="K229" s="1">
        <v>49</v>
      </c>
      <c r="L229" s="1" t="s">
        <v>241</v>
      </c>
    </row>
    <row r="230" spans="1:12" x14ac:dyDescent="0.25">
      <c r="A230" t="s">
        <v>12</v>
      </c>
      <c r="B230" s="1">
        <v>5</v>
      </c>
      <c r="C230" s="1">
        <v>29</v>
      </c>
      <c r="D230" s="1">
        <v>5.59</v>
      </c>
      <c r="E230" s="1">
        <v>11.4</v>
      </c>
      <c r="F230" s="1" t="s">
        <v>13</v>
      </c>
      <c r="G230" s="2">
        <v>45482</v>
      </c>
      <c r="H230" s="2">
        <v>0.58606516203703696</v>
      </c>
      <c r="I230" s="1">
        <v>229</v>
      </c>
      <c r="J230" s="1">
        <v>951</v>
      </c>
      <c r="K230" s="1">
        <v>48.8</v>
      </c>
      <c r="L230" s="1" t="s">
        <v>242</v>
      </c>
    </row>
    <row r="231" spans="1:12" x14ac:dyDescent="0.25">
      <c r="A231" t="s">
        <v>12</v>
      </c>
      <c r="B231" s="1">
        <v>6</v>
      </c>
      <c r="C231" s="1">
        <v>29</v>
      </c>
      <c r="D231" s="1">
        <v>5.47</v>
      </c>
      <c r="E231" s="1">
        <v>11.5</v>
      </c>
      <c r="F231" s="1" t="s">
        <v>13</v>
      </c>
      <c r="G231" s="2">
        <v>45482</v>
      </c>
      <c r="H231" s="2">
        <v>0.58671917824074071</v>
      </c>
      <c r="I231" s="1">
        <v>230</v>
      </c>
      <c r="J231" s="1">
        <v>956</v>
      </c>
      <c r="K231" s="1">
        <v>49.2</v>
      </c>
      <c r="L231" s="1" t="s">
        <v>243</v>
      </c>
    </row>
    <row r="232" spans="1:12" x14ac:dyDescent="0.25">
      <c r="A232" t="s">
        <v>12</v>
      </c>
      <c r="B232" s="1">
        <v>7</v>
      </c>
      <c r="C232" s="1">
        <v>29</v>
      </c>
      <c r="D232" s="1">
        <v>6.89</v>
      </c>
      <c r="E232" s="1">
        <v>11.3</v>
      </c>
      <c r="F232" s="1" t="s">
        <v>13</v>
      </c>
      <c r="G232" s="2">
        <v>45482</v>
      </c>
      <c r="H232" s="2">
        <v>0.58738700231481489</v>
      </c>
      <c r="I232" s="1">
        <v>231</v>
      </c>
      <c r="J232" s="1">
        <v>944</v>
      </c>
      <c r="K232" s="1">
        <v>49</v>
      </c>
      <c r="L232" s="1" t="s">
        <v>244</v>
      </c>
    </row>
    <row r="233" spans="1:12" x14ac:dyDescent="0.25">
      <c r="A233" t="s">
        <v>12</v>
      </c>
      <c r="B233" s="1">
        <v>8</v>
      </c>
      <c r="C233" s="1">
        <v>29</v>
      </c>
      <c r="D233" s="1">
        <v>9.17</v>
      </c>
      <c r="E233" s="1">
        <v>11.3</v>
      </c>
      <c r="F233" s="1" t="s">
        <v>13</v>
      </c>
      <c r="G233" s="2">
        <v>45482</v>
      </c>
      <c r="H233" s="2">
        <v>0.58791751157407401</v>
      </c>
      <c r="I233" s="1">
        <v>232</v>
      </c>
      <c r="J233" s="1">
        <v>943</v>
      </c>
      <c r="K233" s="1">
        <v>48.9</v>
      </c>
      <c r="L233" s="1" t="s">
        <v>245</v>
      </c>
    </row>
    <row r="234" spans="1:12" x14ac:dyDescent="0.25">
      <c r="A234" t="s">
        <v>12</v>
      </c>
      <c r="B234" s="1">
        <v>8</v>
      </c>
      <c r="C234" s="1">
        <v>30</v>
      </c>
      <c r="D234" s="1">
        <v>8.1300000000000008</v>
      </c>
      <c r="E234" s="1">
        <v>11.5</v>
      </c>
      <c r="F234" s="1" t="s">
        <v>13</v>
      </c>
      <c r="G234" s="2">
        <v>45482</v>
      </c>
      <c r="H234" s="2">
        <v>0.58856631944444449</v>
      </c>
      <c r="I234" s="1">
        <v>233</v>
      </c>
      <c r="J234" s="1">
        <v>959</v>
      </c>
      <c r="K234" s="1">
        <v>49</v>
      </c>
      <c r="L234" s="1" t="s">
        <v>246</v>
      </c>
    </row>
    <row r="235" spans="1:12" x14ac:dyDescent="0.25">
      <c r="A235" t="s">
        <v>12</v>
      </c>
      <c r="B235" s="1">
        <v>7</v>
      </c>
      <c r="C235" s="1">
        <v>30</v>
      </c>
      <c r="D235" s="1">
        <v>5.94</v>
      </c>
      <c r="E235" s="1">
        <v>10.5</v>
      </c>
      <c r="F235" s="1" t="s">
        <v>13</v>
      </c>
      <c r="G235" s="2">
        <v>45482</v>
      </c>
      <c r="H235" s="2">
        <v>0.58924012731481479</v>
      </c>
      <c r="I235" s="1">
        <v>234</v>
      </c>
      <c r="J235" s="1">
        <v>887</v>
      </c>
      <c r="K235" s="1">
        <v>48.8</v>
      </c>
      <c r="L235" s="1" t="s">
        <v>247</v>
      </c>
    </row>
    <row r="236" spans="1:12" x14ac:dyDescent="0.25">
      <c r="A236" t="s">
        <v>12</v>
      </c>
      <c r="B236" s="1">
        <v>6</v>
      </c>
      <c r="C236" s="1">
        <v>30</v>
      </c>
      <c r="D236" s="1">
        <v>10.68</v>
      </c>
      <c r="E236" s="1">
        <v>11.8</v>
      </c>
      <c r="F236" s="1" t="s">
        <v>13</v>
      </c>
      <c r="G236" s="2">
        <v>45482</v>
      </c>
      <c r="H236" s="2">
        <v>0.58988271990740748</v>
      </c>
      <c r="I236" s="1">
        <v>235</v>
      </c>
      <c r="J236" s="1">
        <v>969</v>
      </c>
      <c r="K236" s="1">
        <v>48.4</v>
      </c>
      <c r="L236" s="1" t="s">
        <v>248</v>
      </c>
    </row>
    <row r="237" spans="1:12" x14ac:dyDescent="0.25">
      <c r="A237" t="s">
        <v>12</v>
      </c>
      <c r="B237" s="1">
        <v>5</v>
      </c>
      <c r="C237" s="1">
        <v>30</v>
      </c>
      <c r="D237" s="1">
        <v>9.69</v>
      </c>
      <c r="E237" s="1">
        <v>11.6</v>
      </c>
      <c r="F237" s="1" t="s">
        <v>13</v>
      </c>
      <c r="G237" s="2">
        <v>45482</v>
      </c>
      <c r="H237" s="2">
        <v>0.59060231481481484</v>
      </c>
      <c r="I237" s="1">
        <v>236</v>
      </c>
      <c r="J237" s="1">
        <v>955</v>
      </c>
      <c r="K237" s="1">
        <v>48</v>
      </c>
      <c r="L237" s="1" t="s">
        <v>249</v>
      </c>
    </row>
    <row r="238" spans="1:12" x14ac:dyDescent="0.25">
      <c r="A238" t="s">
        <v>12</v>
      </c>
      <c r="B238" s="1">
        <v>4</v>
      </c>
      <c r="C238" s="1">
        <v>30</v>
      </c>
      <c r="D238" s="1">
        <v>10.17</v>
      </c>
      <c r="E238" s="1">
        <v>11</v>
      </c>
      <c r="F238" s="1" t="s">
        <v>13</v>
      </c>
      <c r="G238" s="2">
        <v>45482</v>
      </c>
      <c r="H238" s="2">
        <v>0.59111481481481487</v>
      </c>
      <c r="I238" s="1">
        <v>237</v>
      </c>
      <c r="J238" s="1">
        <v>916</v>
      </c>
      <c r="K238" s="1">
        <v>48.1</v>
      </c>
      <c r="L238" s="1" t="s">
        <v>250</v>
      </c>
    </row>
    <row r="239" spans="1:12" x14ac:dyDescent="0.25">
      <c r="A239" t="s">
        <v>12</v>
      </c>
      <c r="B239" s="1">
        <v>3</v>
      </c>
      <c r="C239" s="1">
        <v>30</v>
      </c>
      <c r="D239" s="1">
        <v>11.08</v>
      </c>
      <c r="E239" s="1">
        <v>11.2</v>
      </c>
      <c r="F239" s="1" t="s">
        <v>13</v>
      </c>
      <c r="G239" s="2">
        <v>45482</v>
      </c>
      <c r="H239" s="2">
        <v>0.59179297453703705</v>
      </c>
      <c r="I239" s="1">
        <v>238</v>
      </c>
      <c r="J239" s="1">
        <v>930</v>
      </c>
      <c r="K239" s="1">
        <v>48.1</v>
      </c>
      <c r="L239" s="1" t="s">
        <v>251</v>
      </c>
    </row>
    <row r="240" spans="1:12" x14ac:dyDescent="0.25">
      <c r="A240" t="s">
        <v>12</v>
      </c>
      <c r="B240" s="1">
        <v>2</v>
      </c>
      <c r="C240" s="1">
        <v>30</v>
      </c>
      <c r="D240" s="1">
        <v>11.31</v>
      </c>
      <c r="E240" s="1">
        <v>11.6</v>
      </c>
      <c r="F240" s="1" t="s">
        <v>13</v>
      </c>
      <c r="G240" s="2">
        <v>45482</v>
      </c>
      <c r="H240" s="2">
        <v>0.59252885416666667</v>
      </c>
      <c r="I240" s="1">
        <v>239</v>
      </c>
      <c r="J240" s="1">
        <v>960</v>
      </c>
      <c r="K240" s="1">
        <v>48.1</v>
      </c>
      <c r="L240" s="1" t="s">
        <v>252</v>
      </c>
    </row>
    <row r="241" spans="1:12" x14ac:dyDescent="0.25">
      <c r="A241" t="s">
        <v>12</v>
      </c>
      <c r="B241" s="1">
        <v>1</v>
      </c>
      <c r="C241" s="1">
        <v>30</v>
      </c>
      <c r="D241" s="1">
        <v>9.98</v>
      </c>
      <c r="E241" s="1">
        <v>11</v>
      </c>
      <c r="F241" s="1" t="s">
        <v>13</v>
      </c>
      <c r="G241" s="2">
        <v>45482</v>
      </c>
      <c r="H241" s="2">
        <v>0.5930970717592593</v>
      </c>
      <c r="I241" s="1">
        <v>240</v>
      </c>
      <c r="J241" s="1">
        <v>922</v>
      </c>
      <c r="K241" s="1">
        <v>48.5</v>
      </c>
      <c r="L241" s="1" t="s">
        <v>253</v>
      </c>
    </row>
    <row r="242" spans="1:12" x14ac:dyDescent="0.25">
      <c r="A242" t="s">
        <v>12</v>
      </c>
      <c r="B242" s="1">
        <v>1</v>
      </c>
      <c r="C242" s="1">
        <v>31</v>
      </c>
      <c r="D242" s="1">
        <v>5.81</v>
      </c>
      <c r="E242" s="1">
        <v>13.3</v>
      </c>
      <c r="F242" s="1" t="s">
        <v>13</v>
      </c>
      <c r="G242" s="2">
        <v>45482</v>
      </c>
      <c r="H242" s="2">
        <v>0.59392118055555554</v>
      </c>
      <c r="I242" s="1">
        <v>241</v>
      </c>
      <c r="J242" s="1">
        <v>1069</v>
      </c>
      <c r="K242" s="1">
        <v>49.4</v>
      </c>
      <c r="L242" s="1" t="s">
        <v>254</v>
      </c>
    </row>
    <row r="243" spans="1:12" x14ac:dyDescent="0.25">
      <c r="A243" t="s">
        <v>12</v>
      </c>
      <c r="B243" s="1">
        <v>2</v>
      </c>
      <c r="C243" s="1">
        <v>31</v>
      </c>
      <c r="D243" s="1">
        <v>6.38</v>
      </c>
      <c r="E243" s="1">
        <v>10.8</v>
      </c>
      <c r="F243" s="1" t="s">
        <v>13</v>
      </c>
      <c r="G243" s="2">
        <v>45482</v>
      </c>
      <c r="H243" s="2">
        <v>0.59468657407407399</v>
      </c>
      <c r="I243" s="1">
        <v>242</v>
      </c>
      <c r="J243" s="1">
        <v>908</v>
      </c>
      <c r="K243" s="1">
        <v>49</v>
      </c>
      <c r="L243" s="1" t="s">
        <v>255</v>
      </c>
    </row>
    <row r="244" spans="1:12" x14ac:dyDescent="0.25">
      <c r="A244" t="s">
        <v>12</v>
      </c>
      <c r="B244" s="1">
        <v>3</v>
      </c>
      <c r="C244" s="1">
        <v>31</v>
      </c>
      <c r="D244" s="1">
        <v>4.78</v>
      </c>
      <c r="E244" s="1">
        <v>10.6</v>
      </c>
      <c r="F244" s="1" t="s">
        <v>13</v>
      </c>
      <c r="G244" s="2">
        <v>45482</v>
      </c>
      <c r="H244" s="2">
        <v>0.59521562500000003</v>
      </c>
      <c r="I244" s="1">
        <v>243</v>
      </c>
      <c r="J244" s="1">
        <v>897</v>
      </c>
      <c r="K244" s="1">
        <v>48.9</v>
      </c>
      <c r="L244" s="1" t="s">
        <v>256</v>
      </c>
    </row>
    <row r="245" spans="1:12" x14ac:dyDescent="0.25">
      <c r="A245" t="s">
        <v>12</v>
      </c>
      <c r="B245" s="1">
        <v>4</v>
      </c>
      <c r="C245" s="1">
        <v>31</v>
      </c>
      <c r="D245" s="1">
        <v>5.57</v>
      </c>
      <c r="E245" s="1">
        <v>10.8</v>
      </c>
      <c r="F245" s="1" t="s">
        <v>13</v>
      </c>
      <c r="G245" s="2">
        <v>45482</v>
      </c>
      <c r="H245" s="2">
        <v>0.59581265046296294</v>
      </c>
      <c r="I245" s="1">
        <v>244</v>
      </c>
      <c r="J245" s="1">
        <v>911</v>
      </c>
      <c r="K245" s="1">
        <v>48.9</v>
      </c>
      <c r="L245" s="1" t="s">
        <v>257</v>
      </c>
    </row>
    <row r="246" spans="1:12" x14ac:dyDescent="0.25">
      <c r="A246" t="s">
        <v>12</v>
      </c>
      <c r="B246" s="1">
        <v>5</v>
      </c>
      <c r="C246" s="1">
        <v>31</v>
      </c>
      <c r="D246" s="1">
        <v>10.85</v>
      </c>
      <c r="E246" s="1">
        <v>12.3</v>
      </c>
      <c r="F246" s="1" t="s">
        <v>13</v>
      </c>
      <c r="G246" s="2">
        <v>45482</v>
      </c>
      <c r="H246" s="2">
        <v>0.59633572916666666</v>
      </c>
      <c r="I246" s="1">
        <v>245</v>
      </c>
      <c r="J246" s="1">
        <v>1004</v>
      </c>
      <c r="K246" s="1">
        <v>48.8</v>
      </c>
      <c r="L246" s="1" t="s">
        <v>258</v>
      </c>
    </row>
    <row r="247" spans="1:12" x14ac:dyDescent="0.25">
      <c r="A247" t="s">
        <v>12</v>
      </c>
      <c r="B247" s="1">
        <v>6</v>
      </c>
      <c r="C247" s="1">
        <v>31</v>
      </c>
      <c r="D247" s="1">
        <v>12.44</v>
      </c>
      <c r="E247" s="1">
        <v>12.3</v>
      </c>
      <c r="F247" s="1" t="s">
        <v>13</v>
      </c>
      <c r="G247" s="2">
        <v>45482</v>
      </c>
      <c r="H247" s="2">
        <v>0.59692326388888894</v>
      </c>
      <c r="I247" s="1">
        <v>246</v>
      </c>
      <c r="J247" s="1">
        <v>1002</v>
      </c>
      <c r="K247" s="1">
        <v>48.4</v>
      </c>
      <c r="L247" s="1" t="s">
        <v>259</v>
      </c>
    </row>
    <row r="248" spans="1:12" x14ac:dyDescent="0.25">
      <c r="A248" t="s">
        <v>12</v>
      </c>
      <c r="B248" s="1">
        <v>7</v>
      </c>
      <c r="C248" s="1">
        <v>31</v>
      </c>
      <c r="D248" s="1">
        <v>10.119999999999999</v>
      </c>
      <c r="E248" s="1">
        <v>11.6</v>
      </c>
      <c r="F248" s="1" t="s">
        <v>13</v>
      </c>
      <c r="G248" s="2">
        <v>45482</v>
      </c>
      <c r="H248" s="2">
        <v>0.59747103009259261</v>
      </c>
      <c r="I248" s="1">
        <v>247</v>
      </c>
      <c r="J248" s="1">
        <v>957</v>
      </c>
      <c r="K248" s="1">
        <v>48.5</v>
      </c>
      <c r="L248" s="1" t="s">
        <v>260</v>
      </c>
    </row>
    <row r="249" spans="1:12" x14ac:dyDescent="0.25">
      <c r="A249" t="s">
        <v>12</v>
      </c>
      <c r="B249" s="1">
        <v>8</v>
      </c>
      <c r="C249" s="1">
        <v>31</v>
      </c>
      <c r="D249" s="1">
        <v>10.8</v>
      </c>
      <c r="E249" s="1">
        <v>11.5</v>
      </c>
      <c r="F249" s="1" t="s">
        <v>13</v>
      </c>
      <c r="G249" s="2">
        <v>45482</v>
      </c>
      <c r="H249" s="2">
        <v>0.59801431712962971</v>
      </c>
      <c r="I249" s="1">
        <v>248</v>
      </c>
      <c r="J249" s="1">
        <v>953</v>
      </c>
      <c r="K249" s="1">
        <v>48.4</v>
      </c>
      <c r="L249" s="1" t="s">
        <v>261</v>
      </c>
    </row>
    <row r="250" spans="1:12" x14ac:dyDescent="0.25">
      <c r="A250" t="s">
        <v>12</v>
      </c>
      <c r="B250" s="1">
        <v>8</v>
      </c>
      <c r="C250" s="1">
        <v>32</v>
      </c>
      <c r="D250" s="1">
        <v>10.35</v>
      </c>
      <c r="E250" s="1">
        <v>11.4</v>
      </c>
      <c r="F250" s="1" t="s">
        <v>13</v>
      </c>
      <c r="G250" s="2">
        <v>45482</v>
      </c>
      <c r="H250" s="2">
        <v>0.60359961805555562</v>
      </c>
      <c r="I250" s="1">
        <v>249</v>
      </c>
      <c r="J250" s="1">
        <v>959</v>
      </c>
      <c r="K250" s="1">
        <v>50.9</v>
      </c>
      <c r="L250" s="1" t="s">
        <v>262</v>
      </c>
    </row>
    <row r="251" spans="1:12" x14ac:dyDescent="0.25">
      <c r="A251" t="s">
        <v>12</v>
      </c>
      <c r="B251" s="1">
        <v>7</v>
      </c>
      <c r="C251" s="1">
        <v>32</v>
      </c>
      <c r="D251" s="1">
        <v>10.29</v>
      </c>
      <c r="E251" s="1">
        <v>11.3</v>
      </c>
      <c r="F251" s="1" t="s">
        <v>13</v>
      </c>
      <c r="G251" s="2">
        <v>45482</v>
      </c>
      <c r="H251" s="2">
        <v>0.60409128472222218</v>
      </c>
      <c r="I251" s="1">
        <v>250</v>
      </c>
      <c r="J251" s="1">
        <v>952</v>
      </c>
      <c r="K251" s="1">
        <v>50.1</v>
      </c>
      <c r="L251" s="1" t="s">
        <v>263</v>
      </c>
    </row>
    <row r="252" spans="1:12" x14ac:dyDescent="0.25">
      <c r="A252" t="s">
        <v>12</v>
      </c>
      <c r="B252" s="1">
        <v>6</v>
      </c>
      <c r="C252" s="1">
        <v>32</v>
      </c>
      <c r="D252" s="1">
        <v>10.64</v>
      </c>
      <c r="E252" s="1">
        <v>12.2</v>
      </c>
      <c r="F252" s="1" t="s">
        <v>13</v>
      </c>
      <c r="G252" s="2">
        <v>45482</v>
      </c>
      <c r="H252" s="2">
        <v>0.60455031250000002</v>
      </c>
      <c r="I252" s="1">
        <v>251</v>
      </c>
      <c r="J252" s="1">
        <v>1002</v>
      </c>
      <c r="K252" s="1">
        <v>49.3</v>
      </c>
      <c r="L252" s="1" t="s">
        <v>264</v>
      </c>
    </row>
    <row r="253" spans="1:12" x14ac:dyDescent="0.25">
      <c r="A253" t="s">
        <v>12</v>
      </c>
      <c r="B253" s="1">
        <v>5</v>
      </c>
      <c r="C253" s="1">
        <v>32</v>
      </c>
      <c r="D253" s="1">
        <v>9.86</v>
      </c>
      <c r="E253" s="1">
        <v>12.1</v>
      </c>
      <c r="F253" s="1" t="s">
        <v>13</v>
      </c>
      <c r="G253" s="2">
        <v>45482</v>
      </c>
      <c r="H253" s="2">
        <v>0.60508174768518519</v>
      </c>
      <c r="I253" s="1">
        <v>252</v>
      </c>
      <c r="J253" s="1">
        <v>997</v>
      </c>
      <c r="K253" s="1">
        <v>48.9</v>
      </c>
      <c r="L253" s="1" t="s">
        <v>265</v>
      </c>
    </row>
    <row r="254" spans="1:12" x14ac:dyDescent="0.25">
      <c r="A254" t="s">
        <v>12</v>
      </c>
      <c r="B254" s="1">
        <v>4</v>
      </c>
      <c r="C254" s="1">
        <v>32</v>
      </c>
      <c r="D254" s="1">
        <v>11.94</v>
      </c>
      <c r="E254" s="1">
        <v>11.9</v>
      </c>
      <c r="F254" s="1" t="s">
        <v>13</v>
      </c>
      <c r="G254" s="2">
        <v>45482</v>
      </c>
      <c r="H254" s="2">
        <v>0.60571574074074064</v>
      </c>
      <c r="I254" s="1">
        <v>253</v>
      </c>
      <c r="J254" s="1">
        <v>983</v>
      </c>
      <c r="K254" s="1">
        <v>48.6</v>
      </c>
      <c r="L254" s="1" t="s">
        <v>266</v>
      </c>
    </row>
    <row r="255" spans="1:12" x14ac:dyDescent="0.25">
      <c r="A255" t="s">
        <v>12</v>
      </c>
      <c r="B255" s="1">
        <v>3</v>
      </c>
      <c r="C255" s="1">
        <v>32</v>
      </c>
      <c r="D255" s="1">
        <v>12.4</v>
      </c>
      <c r="E255" s="1">
        <v>12</v>
      </c>
      <c r="F255" s="1" t="s">
        <v>13</v>
      </c>
      <c r="G255" s="2">
        <v>45482</v>
      </c>
      <c r="H255" s="2">
        <v>0.60622827546296298</v>
      </c>
      <c r="I255" s="1">
        <v>254</v>
      </c>
      <c r="J255" s="1">
        <v>987</v>
      </c>
      <c r="K255" s="1">
        <v>48.6</v>
      </c>
      <c r="L255" s="1" t="s">
        <v>267</v>
      </c>
    </row>
    <row r="256" spans="1:12" x14ac:dyDescent="0.25">
      <c r="A256" t="s">
        <v>12</v>
      </c>
      <c r="B256" s="1">
        <v>2</v>
      </c>
      <c r="C256" s="1">
        <v>32</v>
      </c>
      <c r="D256" s="1">
        <v>11.11</v>
      </c>
      <c r="E256" s="1">
        <v>12.1</v>
      </c>
      <c r="F256" s="1" t="s">
        <v>13</v>
      </c>
      <c r="G256" s="2">
        <v>45482</v>
      </c>
      <c r="H256" s="2">
        <v>0.60677943287037039</v>
      </c>
      <c r="I256" s="1">
        <v>255</v>
      </c>
      <c r="J256" s="1">
        <v>991</v>
      </c>
      <c r="K256" s="1">
        <v>48.8</v>
      </c>
      <c r="L256" s="1" t="s">
        <v>268</v>
      </c>
    </row>
    <row r="257" spans="1:12" x14ac:dyDescent="0.25">
      <c r="A257" t="s">
        <v>12</v>
      </c>
      <c r="B257" s="1">
        <v>1</v>
      </c>
      <c r="C257" s="1">
        <v>32</v>
      </c>
      <c r="D257" s="1">
        <v>12.16</v>
      </c>
      <c r="E257" s="1">
        <v>13.4</v>
      </c>
      <c r="F257" s="1" t="s">
        <v>13</v>
      </c>
      <c r="G257" s="2">
        <v>45482</v>
      </c>
      <c r="H257" s="2">
        <v>0.60737318287037034</v>
      </c>
      <c r="I257" s="1">
        <v>256</v>
      </c>
      <c r="J257" s="1">
        <v>1071</v>
      </c>
      <c r="K257" s="1">
        <v>49</v>
      </c>
      <c r="L257" s="1" t="s">
        <v>269</v>
      </c>
    </row>
    <row r="258" spans="1:12" x14ac:dyDescent="0.25">
      <c r="A258" t="s">
        <v>12</v>
      </c>
      <c r="B258" s="1">
        <v>1</v>
      </c>
      <c r="C258" s="1">
        <v>33</v>
      </c>
      <c r="D258" s="1">
        <v>12.3</v>
      </c>
      <c r="E258" s="1">
        <v>13.8</v>
      </c>
      <c r="F258" s="1" t="s">
        <v>13</v>
      </c>
      <c r="G258" s="2">
        <v>45482</v>
      </c>
      <c r="H258" s="2">
        <v>0.6139379976851852</v>
      </c>
      <c r="I258" s="1">
        <v>257</v>
      </c>
      <c r="J258" s="1">
        <v>1110</v>
      </c>
      <c r="K258" s="1">
        <v>51.8</v>
      </c>
      <c r="L258" s="1" t="s">
        <v>270</v>
      </c>
    </row>
    <row r="259" spans="1:12" x14ac:dyDescent="0.25">
      <c r="A259" t="s">
        <v>12</v>
      </c>
      <c r="B259" s="1">
        <v>2</v>
      </c>
      <c r="C259" s="1">
        <v>33</v>
      </c>
      <c r="D259" s="1">
        <v>11.76</v>
      </c>
      <c r="E259" s="1">
        <v>11.2</v>
      </c>
      <c r="F259" s="1" t="s">
        <v>13</v>
      </c>
      <c r="G259" s="2">
        <v>45482</v>
      </c>
      <c r="H259" s="2">
        <v>0.61459108796296302</v>
      </c>
      <c r="I259" s="1">
        <v>258</v>
      </c>
      <c r="J259" s="1">
        <v>946</v>
      </c>
      <c r="K259" s="1">
        <v>50.7</v>
      </c>
      <c r="L259" s="1" t="s">
        <v>271</v>
      </c>
    </row>
    <row r="260" spans="1:12" x14ac:dyDescent="0.25">
      <c r="A260" t="s">
        <v>12</v>
      </c>
      <c r="B260" s="1">
        <v>3</v>
      </c>
      <c r="C260" s="1">
        <v>33</v>
      </c>
      <c r="D260" s="1">
        <v>10.71</v>
      </c>
      <c r="E260" s="1">
        <v>11.2</v>
      </c>
      <c r="F260" s="1" t="s">
        <v>13</v>
      </c>
      <c r="G260" s="2">
        <v>45482</v>
      </c>
      <c r="H260" s="2">
        <v>0.61514317129629625</v>
      </c>
      <c r="I260" s="1">
        <v>259</v>
      </c>
      <c r="J260" s="1">
        <v>944</v>
      </c>
      <c r="K260" s="1">
        <v>50.4</v>
      </c>
      <c r="L260" s="1" t="s">
        <v>272</v>
      </c>
    </row>
    <row r="261" spans="1:12" x14ac:dyDescent="0.25">
      <c r="A261" t="s">
        <v>12</v>
      </c>
      <c r="B261" s="1">
        <v>4</v>
      </c>
      <c r="C261" s="1">
        <v>33</v>
      </c>
      <c r="D261" s="1">
        <v>10.77</v>
      </c>
      <c r="E261" s="1">
        <v>11.4</v>
      </c>
      <c r="F261" s="1" t="s">
        <v>13</v>
      </c>
      <c r="G261" s="2">
        <v>45482</v>
      </c>
      <c r="H261" s="2">
        <v>0.61578530092592587</v>
      </c>
      <c r="I261" s="1">
        <v>260</v>
      </c>
      <c r="J261" s="1">
        <v>954</v>
      </c>
      <c r="K261" s="1">
        <v>50.1</v>
      </c>
      <c r="L261" s="1" t="s">
        <v>273</v>
      </c>
    </row>
    <row r="262" spans="1:12" x14ac:dyDescent="0.25">
      <c r="A262" t="s">
        <v>12</v>
      </c>
      <c r="B262" s="1">
        <v>5</v>
      </c>
      <c r="C262" s="1">
        <v>33</v>
      </c>
      <c r="D262" s="1">
        <v>10.96</v>
      </c>
      <c r="E262" s="1">
        <v>11.6</v>
      </c>
      <c r="F262" s="1" t="s">
        <v>13</v>
      </c>
      <c r="G262" s="2">
        <v>45482</v>
      </c>
      <c r="H262" s="2">
        <v>0.61633549768518525</v>
      </c>
      <c r="I262" s="1">
        <v>261</v>
      </c>
      <c r="J262" s="1">
        <v>967</v>
      </c>
      <c r="K262" s="1">
        <v>49.7</v>
      </c>
      <c r="L262" s="1" t="s">
        <v>274</v>
      </c>
    </row>
    <row r="263" spans="1:12" x14ac:dyDescent="0.25">
      <c r="A263" t="s">
        <v>12</v>
      </c>
      <c r="B263" s="1">
        <v>6</v>
      </c>
      <c r="C263" s="1">
        <v>33</v>
      </c>
      <c r="D263" s="1">
        <v>12.29</v>
      </c>
      <c r="E263" s="1">
        <v>11.2</v>
      </c>
      <c r="F263" s="1" t="s">
        <v>13</v>
      </c>
      <c r="G263" s="2">
        <v>45482</v>
      </c>
      <c r="H263" s="2">
        <v>0.61683700231481475</v>
      </c>
      <c r="I263" s="1">
        <v>262</v>
      </c>
      <c r="J263" s="1">
        <v>939</v>
      </c>
      <c r="K263" s="1">
        <v>49.4</v>
      </c>
      <c r="L263" s="1" t="s">
        <v>275</v>
      </c>
    </row>
    <row r="264" spans="1:12" x14ac:dyDescent="0.25">
      <c r="A264" t="s">
        <v>12</v>
      </c>
      <c r="B264" s="1">
        <v>7</v>
      </c>
      <c r="C264" s="1">
        <v>33</v>
      </c>
      <c r="D264" s="1">
        <v>10.25</v>
      </c>
      <c r="E264" s="1">
        <v>10.5</v>
      </c>
      <c r="F264" s="1" t="s">
        <v>13</v>
      </c>
      <c r="G264" s="2">
        <v>45482</v>
      </c>
      <c r="H264" s="2">
        <v>0.61759340277777774</v>
      </c>
      <c r="I264" s="1">
        <v>263</v>
      </c>
      <c r="J264" s="1">
        <v>893</v>
      </c>
      <c r="K264" s="1">
        <v>49.9</v>
      </c>
      <c r="L264" s="1" t="s">
        <v>276</v>
      </c>
    </row>
    <row r="265" spans="1:12" x14ac:dyDescent="0.25">
      <c r="A265" t="s">
        <v>12</v>
      </c>
      <c r="B265" s="1">
        <v>8</v>
      </c>
      <c r="C265" s="1">
        <v>33</v>
      </c>
      <c r="D265" s="1">
        <v>11.07</v>
      </c>
      <c r="E265" s="1">
        <v>11.5</v>
      </c>
      <c r="F265" s="1" t="s">
        <v>13</v>
      </c>
      <c r="G265" s="2">
        <v>45482</v>
      </c>
      <c r="H265" s="2">
        <v>0.6181554398148148</v>
      </c>
      <c r="I265" s="1">
        <v>264</v>
      </c>
      <c r="J265" s="1">
        <v>959</v>
      </c>
      <c r="K265" s="1">
        <v>49.4</v>
      </c>
      <c r="L265" s="1" t="s">
        <v>277</v>
      </c>
    </row>
    <row r="266" spans="1:12" x14ac:dyDescent="0.25">
      <c r="A266" t="s">
        <v>12</v>
      </c>
      <c r="B266" s="1">
        <v>8</v>
      </c>
      <c r="C266" s="1">
        <v>34</v>
      </c>
      <c r="D266" s="1">
        <v>9.1300000000000008</v>
      </c>
      <c r="E266" s="1">
        <v>11.8</v>
      </c>
      <c r="F266" s="1" t="s">
        <v>13</v>
      </c>
      <c r="G266" s="2">
        <v>45482</v>
      </c>
      <c r="H266" s="2">
        <v>0.61873487268518512</v>
      </c>
      <c r="I266" s="1">
        <v>265</v>
      </c>
      <c r="J266" s="1">
        <v>976</v>
      </c>
      <c r="K266" s="1">
        <v>49.4</v>
      </c>
      <c r="L266" s="1" t="s">
        <v>278</v>
      </c>
    </row>
    <row r="267" spans="1:12" x14ac:dyDescent="0.25">
      <c r="A267" t="s">
        <v>12</v>
      </c>
      <c r="B267" s="1">
        <v>7</v>
      </c>
      <c r="C267" s="1">
        <v>34</v>
      </c>
      <c r="D267" s="1">
        <v>9.06</v>
      </c>
      <c r="E267" s="1">
        <v>10.7</v>
      </c>
      <c r="F267" s="1" t="s">
        <v>13</v>
      </c>
      <c r="G267" s="2">
        <v>45482</v>
      </c>
      <c r="H267" s="2">
        <v>0.61950922453703694</v>
      </c>
      <c r="I267" s="1">
        <v>266</v>
      </c>
      <c r="J267" s="1">
        <v>905</v>
      </c>
      <c r="K267" s="1">
        <v>49.6</v>
      </c>
      <c r="L267" s="1" t="s">
        <v>279</v>
      </c>
    </row>
    <row r="268" spans="1:12" x14ac:dyDescent="0.25">
      <c r="A268" t="s">
        <v>12</v>
      </c>
      <c r="B268" s="1">
        <v>6</v>
      </c>
      <c r="C268" s="1">
        <v>34</v>
      </c>
      <c r="D268" s="1">
        <v>10.58</v>
      </c>
      <c r="E268" s="1">
        <v>11.8</v>
      </c>
      <c r="F268" s="1" t="s">
        <v>13</v>
      </c>
      <c r="G268" s="2">
        <v>45482</v>
      </c>
      <c r="H268" s="2">
        <v>0.62000390046296294</v>
      </c>
      <c r="I268" s="1">
        <v>267</v>
      </c>
      <c r="J268" s="1">
        <v>975</v>
      </c>
      <c r="K268" s="1">
        <v>49.2</v>
      </c>
      <c r="L268" s="1" t="s">
        <v>280</v>
      </c>
    </row>
    <row r="269" spans="1:12" x14ac:dyDescent="0.25">
      <c r="A269" t="s">
        <v>12</v>
      </c>
      <c r="B269" s="1">
        <v>5</v>
      </c>
      <c r="C269" s="1">
        <v>34</v>
      </c>
      <c r="D269" s="1">
        <v>10.77</v>
      </c>
      <c r="E269" s="1">
        <v>11.7</v>
      </c>
      <c r="F269" s="1" t="s">
        <v>13</v>
      </c>
      <c r="G269" s="2">
        <v>45482</v>
      </c>
      <c r="H269" s="2">
        <v>0.62057040509259265</v>
      </c>
      <c r="I269" s="1">
        <v>268</v>
      </c>
      <c r="J269" s="1">
        <v>970</v>
      </c>
      <c r="K269" s="1">
        <v>49.3</v>
      </c>
      <c r="L269" s="1" t="s">
        <v>281</v>
      </c>
    </row>
    <row r="270" spans="1:12" x14ac:dyDescent="0.25">
      <c r="A270" t="s">
        <v>12</v>
      </c>
      <c r="B270" s="1">
        <v>4</v>
      </c>
      <c r="C270" s="1">
        <v>34</v>
      </c>
      <c r="D270" s="1">
        <v>11.32</v>
      </c>
      <c r="E270" s="1">
        <v>11.6</v>
      </c>
      <c r="F270" s="1" t="s">
        <v>13</v>
      </c>
      <c r="G270" s="2">
        <v>45482</v>
      </c>
      <c r="H270" s="2">
        <v>0.62101478009259259</v>
      </c>
      <c r="I270" s="1">
        <v>269</v>
      </c>
      <c r="J270" s="1">
        <v>963</v>
      </c>
      <c r="K270" s="1">
        <v>49</v>
      </c>
      <c r="L270" s="1" t="s">
        <v>282</v>
      </c>
    </row>
    <row r="271" spans="1:12" x14ac:dyDescent="0.25">
      <c r="A271" t="s">
        <v>12</v>
      </c>
      <c r="B271" s="1">
        <v>3</v>
      </c>
      <c r="C271" s="1">
        <v>34</v>
      </c>
      <c r="D271" s="1">
        <v>11.86</v>
      </c>
      <c r="E271" s="1">
        <v>11.4</v>
      </c>
      <c r="F271" s="1" t="s">
        <v>13</v>
      </c>
      <c r="G271" s="2">
        <v>45482</v>
      </c>
      <c r="H271" s="2">
        <v>0.6216539699074074</v>
      </c>
      <c r="I271" s="1">
        <v>270</v>
      </c>
      <c r="J271" s="1">
        <v>950</v>
      </c>
      <c r="K271" s="1">
        <v>49.2</v>
      </c>
      <c r="L271" s="1" t="s">
        <v>283</v>
      </c>
    </row>
    <row r="272" spans="1:12" x14ac:dyDescent="0.25">
      <c r="A272" t="s">
        <v>12</v>
      </c>
      <c r="B272" s="1">
        <v>2</v>
      </c>
      <c r="C272" s="1">
        <v>34</v>
      </c>
      <c r="D272" s="1">
        <v>11.8</v>
      </c>
      <c r="E272" s="1">
        <v>11.4</v>
      </c>
      <c r="F272" s="1" t="s">
        <v>13</v>
      </c>
      <c r="G272" s="2">
        <v>45482</v>
      </c>
      <c r="H272" s="2">
        <v>0.62226913194444444</v>
      </c>
      <c r="I272" s="1">
        <v>271</v>
      </c>
      <c r="J272" s="1">
        <v>953</v>
      </c>
      <c r="K272" s="1">
        <v>49.2</v>
      </c>
      <c r="L272" s="1" t="s">
        <v>284</v>
      </c>
    </row>
    <row r="273" spans="1:12" x14ac:dyDescent="0.25">
      <c r="A273" t="s">
        <v>12</v>
      </c>
      <c r="B273" s="1">
        <v>1</v>
      </c>
      <c r="C273" s="1">
        <v>34</v>
      </c>
      <c r="D273" s="1">
        <v>11.29</v>
      </c>
      <c r="E273" s="1">
        <v>11.2</v>
      </c>
      <c r="F273" s="1" t="s">
        <v>13</v>
      </c>
      <c r="G273" s="2">
        <v>45482</v>
      </c>
      <c r="H273" s="2">
        <v>0.62295547453703703</v>
      </c>
      <c r="I273" s="1">
        <v>272</v>
      </c>
      <c r="J273" s="1">
        <v>941</v>
      </c>
      <c r="K273" s="1">
        <v>49.7</v>
      </c>
      <c r="L273" s="1" t="s">
        <v>285</v>
      </c>
    </row>
    <row r="274" spans="1:12" x14ac:dyDescent="0.25">
      <c r="A274" t="s">
        <v>12</v>
      </c>
      <c r="B274" s="1">
        <v>1</v>
      </c>
      <c r="C274" s="1">
        <v>35</v>
      </c>
      <c r="D274" s="1">
        <v>11.53</v>
      </c>
      <c r="E274" s="1">
        <v>11.5</v>
      </c>
      <c r="F274" s="1" t="s">
        <v>13</v>
      </c>
      <c r="G274" s="2">
        <v>45482</v>
      </c>
      <c r="H274" s="2">
        <v>0.6235715277777778</v>
      </c>
      <c r="I274" s="1">
        <v>273</v>
      </c>
      <c r="J274" s="1">
        <v>960</v>
      </c>
      <c r="K274" s="1">
        <v>49.9</v>
      </c>
      <c r="L274" s="1" t="s">
        <v>286</v>
      </c>
    </row>
    <row r="275" spans="1:12" x14ac:dyDescent="0.25">
      <c r="A275" t="s">
        <v>12</v>
      </c>
      <c r="B275" s="1">
        <v>2</v>
      </c>
      <c r="C275" s="1">
        <v>35</v>
      </c>
      <c r="D275" s="1">
        <v>12.06</v>
      </c>
      <c r="E275" s="1">
        <v>11.5</v>
      </c>
      <c r="F275" s="1" t="s">
        <v>13</v>
      </c>
      <c r="G275" s="2">
        <v>45482</v>
      </c>
      <c r="H275" s="2">
        <v>0.62418255787037036</v>
      </c>
      <c r="I275" s="1">
        <v>274</v>
      </c>
      <c r="J275" s="1">
        <v>961</v>
      </c>
      <c r="K275" s="1">
        <v>49.6</v>
      </c>
      <c r="L275" s="1" t="s">
        <v>287</v>
      </c>
    </row>
    <row r="276" spans="1:12" x14ac:dyDescent="0.25">
      <c r="A276" t="s">
        <v>12</v>
      </c>
      <c r="B276" s="1">
        <v>3</v>
      </c>
      <c r="C276" s="1">
        <v>35</v>
      </c>
      <c r="D276" s="1">
        <v>11.29</v>
      </c>
      <c r="E276" s="1">
        <v>11.6</v>
      </c>
      <c r="F276" s="1" t="s">
        <v>13</v>
      </c>
      <c r="G276" s="2">
        <v>45482</v>
      </c>
      <c r="H276" s="2">
        <v>0.62472299768518513</v>
      </c>
      <c r="I276" s="1">
        <v>275</v>
      </c>
      <c r="J276" s="1">
        <v>963</v>
      </c>
      <c r="K276" s="1">
        <v>49.4</v>
      </c>
      <c r="L276" s="1" t="s">
        <v>288</v>
      </c>
    </row>
    <row r="277" spans="1:12" x14ac:dyDescent="0.25">
      <c r="A277" t="s">
        <v>12</v>
      </c>
      <c r="B277" s="1">
        <v>4</v>
      </c>
      <c r="C277" s="1">
        <v>35</v>
      </c>
      <c r="D277" s="1">
        <v>12.03</v>
      </c>
      <c r="E277" s="1">
        <v>11.9</v>
      </c>
      <c r="F277" s="1" t="s">
        <v>13</v>
      </c>
      <c r="G277" s="2">
        <v>45482</v>
      </c>
      <c r="H277" s="2">
        <v>0.62542924768518526</v>
      </c>
      <c r="I277" s="1">
        <v>276</v>
      </c>
      <c r="J277" s="1">
        <v>982</v>
      </c>
      <c r="K277" s="1">
        <v>49.4</v>
      </c>
      <c r="L277" s="1" t="s">
        <v>289</v>
      </c>
    </row>
    <row r="278" spans="1:12" x14ac:dyDescent="0.25">
      <c r="A278" t="s">
        <v>12</v>
      </c>
      <c r="B278" s="1">
        <v>5</v>
      </c>
      <c r="C278" s="1">
        <v>35</v>
      </c>
      <c r="D278" s="1">
        <v>9.9</v>
      </c>
      <c r="E278" s="1">
        <v>11.7</v>
      </c>
      <c r="F278" s="1" t="s">
        <v>13</v>
      </c>
      <c r="G278" s="2">
        <v>45482</v>
      </c>
      <c r="H278" s="2">
        <v>0.62611612268518513</v>
      </c>
      <c r="I278" s="1">
        <v>277</v>
      </c>
      <c r="J278" s="1">
        <v>972</v>
      </c>
      <c r="K278" s="1">
        <v>49.3</v>
      </c>
      <c r="L278" s="1" t="s">
        <v>290</v>
      </c>
    </row>
    <row r="279" spans="1:12" x14ac:dyDescent="0.25">
      <c r="A279" t="s">
        <v>12</v>
      </c>
      <c r="B279" s="1">
        <v>6</v>
      </c>
      <c r="C279" s="1">
        <v>35</v>
      </c>
      <c r="D279" s="1">
        <v>11.23</v>
      </c>
      <c r="E279" s="1">
        <v>11.6</v>
      </c>
      <c r="F279" s="1" t="s">
        <v>13</v>
      </c>
      <c r="G279" s="2">
        <v>45482</v>
      </c>
      <c r="H279" s="2">
        <v>0.62756890046296299</v>
      </c>
      <c r="I279" s="1">
        <v>278</v>
      </c>
      <c r="J279" s="1">
        <v>972</v>
      </c>
      <c r="K279" s="1">
        <v>50.9</v>
      </c>
      <c r="L279" s="1" t="s">
        <v>291</v>
      </c>
    </row>
    <row r="280" spans="1:12" x14ac:dyDescent="0.25">
      <c r="A280" t="s">
        <v>12</v>
      </c>
      <c r="B280" s="1">
        <v>7</v>
      </c>
      <c r="C280" s="1">
        <v>35</v>
      </c>
      <c r="D280" s="1">
        <v>6.13</v>
      </c>
      <c r="E280" s="1">
        <v>11</v>
      </c>
      <c r="F280" s="1" t="s">
        <v>13</v>
      </c>
      <c r="G280" s="2">
        <v>45482</v>
      </c>
      <c r="H280" s="2">
        <v>0.62838116898148155</v>
      </c>
      <c r="I280" s="1">
        <v>279</v>
      </c>
      <c r="J280" s="1">
        <v>931</v>
      </c>
      <c r="K280" s="1">
        <v>50.1</v>
      </c>
      <c r="L280" s="1" t="s">
        <v>292</v>
      </c>
    </row>
    <row r="281" spans="1:12" x14ac:dyDescent="0.25">
      <c r="A281" t="s">
        <v>12</v>
      </c>
      <c r="B281" s="1">
        <v>8</v>
      </c>
      <c r="C281" s="1">
        <v>35</v>
      </c>
      <c r="D281" s="1">
        <v>5.86</v>
      </c>
      <c r="E281" s="1">
        <v>11</v>
      </c>
      <c r="F281" s="1" t="s">
        <v>13</v>
      </c>
      <c r="G281" s="2">
        <v>45482</v>
      </c>
      <c r="H281" s="2">
        <v>0.62905019675925933</v>
      </c>
      <c r="I281" s="1">
        <v>280</v>
      </c>
      <c r="J281" s="1">
        <v>933</v>
      </c>
      <c r="K281" s="1">
        <v>50.3</v>
      </c>
      <c r="L281" s="1" t="s">
        <v>293</v>
      </c>
    </row>
    <row r="282" spans="1:12" x14ac:dyDescent="0.25">
      <c r="A282" t="s">
        <v>12</v>
      </c>
      <c r="B282" s="1">
        <v>8</v>
      </c>
      <c r="C282" s="1">
        <v>36</v>
      </c>
      <c r="D282" s="1">
        <v>10.09</v>
      </c>
      <c r="E282" s="1">
        <v>11.4</v>
      </c>
      <c r="F282" s="1" t="s">
        <v>13</v>
      </c>
      <c r="G282" s="2">
        <v>45482</v>
      </c>
      <c r="H282" s="2">
        <v>0.62993182870370368</v>
      </c>
      <c r="I282" s="1">
        <v>281</v>
      </c>
      <c r="J282" s="1">
        <v>958</v>
      </c>
      <c r="K282" s="1">
        <v>50.7</v>
      </c>
      <c r="L282" s="1" t="s">
        <v>294</v>
      </c>
    </row>
    <row r="283" spans="1:12" x14ac:dyDescent="0.25">
      <c r="A283" t="s">
        <v>12</v>
      </c>
      <c r="B283" s="1">
        <v>7</v>
      </c>
      <c r="C283" s="1">
        <v>36</v>
      </c>
      <c r="D283" s="1">
        <v>9.16</v>
      </c>
      <c r="E283" s="1">
        <v>11.4</v>
      </c>
      <c r="F283" s="1" t="s">
        <v>13</v>
      </c>
      <c r="G283" s="2">
        <v>45482</v>
      </c>
      <c r="H283" s="2">
        <v>0.63059012731481479</v>
      </c>
      <c r="I283" s="1">
        <v>282</v>
      </c>
      <c r="J283" s="1">
        <v>959</v>
      </c>
      <c r="K283" s="1">
        <v>50.1</v>
      </c>
      <c r="L283" s="1" t="s">
        <v>295</v>
      </c>
    </row>
    <row r="284" spans="1:12" x14ac:dyDescent="0.25">
      <c r="A284" t="s">
        <v>12</v>
      </c>
      <c r="B284" s="1">
        <v>6</v>
      </c>
      <c r="C284" s="1">
        <v>36</v>
      </c>
      <c r="D284" s="1">
        <v>11.44</v>
      </c>
      <c r="E284" s="1">
        <v>11.2</v>
      </c>
      <c r="F284" s="1" t="s">
        <v>13</v>
      </c>
      <c r="G284" s="2">
        <v>45482</v>
      </c>
      <c r="H284" s="2">
        <v>0.63118961805555551</v>
      </c>
      <c r="I284" s="1">
        <v>283</v>
      </c>
      <c r="J284" s="1">
        <v>943</v>
      </c>
      <c r="K284" s="1">
        <v>49.7</v>
      </c>
      <c r="L284" s="1" t="s">
        <v>296</v>
      </c>
    </row>
    <row r="285" spans="1:12" x14ac:dyDescent="0.25">
      <c r="A285" t="s">
        <v>12</v>
      </c>
      <c r="B285" s="1">
        <v>5</v>
      </c>
      <c r="C285" s="1">
        <v>36</v>
      </c>
      <c r="D285" s="1">
        <v>11.14</v>
      </c>
      <c r="E285" s="1">
        <v>11.3</v>
      </c>
      <c r="F285" s="1" t="s">
        <v>13</v>
      </c>
      <c r="G285" s="2">
        <v>45482</v>
      </c>
      <c r="H285" s="2">
        <v>0.63171623842592595</v>
      </c>
      <c r="I285" s="1">
        <v>284</v>
      </c>
      <c r="J285" s="1">
        <v>944</v>
      </c>
      <c r="K285" s="1">
        <v>49.6</v>
      </c>
      <c r="L285" s="1" t="s">
        <v>297</v>
      </c>
    </row>
    <row r="286" spans="1:12" x14ac:dyDescent="0.25">
      <c r="A286" t="s">
        <v>12</v>
      </c>
      <c r="B286" s="1">
        <v>4</v>
      </c>
      <c r="C286" s="1">
        <v>36</v>
      </c>
      <c r="D286" s="1">
        <v>11.54</v>
      </c>
      <c r="E286" s="1">
        <v>11.3</v>
      </c>
      <c r="F286" s="1" t="s">
        <v>13</v>
      </c>
      <c r="G286" s="2">
        <v>45482</v>
      </c>
      <c r="H286" s="2">
        <v>0.632231400462963</v>
      </c>
      <c r="I286" s="1">
        <v>285</v>
      </c>
      <c r="J286" s="1">
        <v>945</v>
      </c>
      <c r="K286" s="1">
        <v>49.6</v>
      </c>
      <c r="L286" s="1" t="s">
        <v>298</v>
      </c>
    </row>
    <row r="287" spans="1:12" x14ac:dyDescent="0.25">
      <c r="A287" t="s">
        <v>12</v>
      </c>
      <c r="B287" s="1">
        <v>3</v>
      </c>
      <c r="C287" s="1">
        <v>36</v>
      </c>
      <c r="D287" s="1">
        <v>11.48</v>
      </c>
      <c r="E287" s="1">
        <v>11.3</v>
      </c>
      <c r="F287" s="1" t="s">
        <v>13</v>
      </c>
      <c r="G287" s="2">
        <v>45482</v>
      </c>
      <c r="H287" s="2">
        <v>0.63282141203703701</v>
      </c>
      <c r="I287" s="1">
        <v>286</v>
      </c>
      <c r="J287" s="1">
        <v>943</v>
      </c>
      <c r="K287" s="1">
        <v>49.3</v>
      </c>
      <c r="L287" s="1" t="s">
        <v>299</v>
      </c>
    </row>
    <row r="288" spans="1:12" x14ac:dyDescent="0.25">
      <c r="A288" t="s">
        <v>12</v>
      </c>
      <c r="B288" s="1">
        <v>2</v>
      </c>
      <c r="C288" s="1">
        <v>36</v>
      </c>
      <c r="D288" s="1">
        <v>11.8</v>
      </c>
      <c r="E288" s="1">
        <v>11.4</v>
      </c>
      <c r="F288" s="1" t="s">
        <v>13</v>
      </c>
      <c r="G288" s="2">
        <v>45482</v>
      </c>
      <c r="H288" s="2">
        <v>0.63343391203703703</v>
      </c>
      <c r="I288" s="1">
        <v>287</v>
      </c>
      <c r="J288" s="1">
        <v>951</v>
      </c>
      <c r="K288" s="1">
        <v>49.4</v>
      </c>
      <c r="L288" s="1" t="s">
        <v>300</v>
      </c>
    </row>
    <row r="289" spans="1:12" x14ac:dyDescent="0.25">
      <c r="A289" t="s">
        <v>12</v>
      </c>
      <c r="B289" s="1">
        <v>1</v>
      </c>
      <c r="C289" s="1">
        <v>36</v>
      </c>
      <c r="D289" s="1">
        <v>12.13</v>
      </c>
      <c r="E289" s="1">
        <v>11.2</v>
      </c>
      <c r="F289" s="1" t="s">
        <v>13</v>
      </c>
      <c r="G289" s="2">
        <v>45482</v>
      </c>
      <c r="H289" s="2">
        <v>0.63395876157407405</v>
      </c>
      <c r="I289" s="1">
        <v>288</v>
      </c>
      <c r="J289" s="1">
        <v>940</v>
      </c>
      <c r="K289" s="1">
        <v>49.6</v>
      </c>
      <c r="L289" s="1" t="s">
        <v>301</v>
      </c>
    </row>
    <row r="290" spans="1:12" x14ac:dyDescent="0.25">
      <c r="A290" t="s">
        <v>12</v>
      </c>
      <c r="B290" s="1">
        <v>1</v>
      </c>
      <c r="C290" s="1">
        <v>37</v>
      </c>
      <c r="D290" s="1">
        <v>11.15</v>
      </c>
      <c r="E290" s="1">
        <v>10.9</v>
      </c>
      <c r="F290" s="1" t="s">
        <v>13</v>
      </c>
      <c r="G290" s="2">
        <v>45482</v>
      </c>
      <c r="H290" s="2">
        <v>0.63789957175925927</v>
      </c>
      <c r="I290" s="1">
        <v>289</v>
      </c>
      <c r="J290" s="1">
        <v>936</v>
      </c>
      <c r="K290" s="1">
        <v>52.2</v>
      </c>
      <c r="L290" s="1" t="s">
        <v>302</v>
      </c>
    </row>
    <row r="291" spans="1:12" x14ac:dyDescent="0.25">
      <c r="A291" t="s">
        <v>12</v>
      </c>
      <c r="B291" s="1">
        <v>2</v>
      </c>
      <c r="C291" s="1">
        <v>37</v>
      </c>
      <c r="D291" s="1">
        <v>12.02</v>
      </c>
      <c r="E291" s="1">
        <v>10.9</v>
      </c>
      <c r="F291" s="1" t="s">
        <v>13</v>
      </c>
      <c r="G291" s="2">
        <v>45482</v>
      </c>
      <c r="H291" s="2">
        <v>0.63864255787037028</v>
      </c>
      <c r="I291" s="1">
        <v>290</v>
      </c>
      <c r="J291" s="1">
        <v>931</v>
      </c>
      <c r="K291" s="1">
        <v>51.2</v>
      </c>
      <c r="L291" s="1" t="s">
        <v>303</v>
      </c>
    </row>
    <row r="292" spans="1:12" x14ac:dyDescent="0.25">
      <c r="A292" t="s">
        <v>12</v>
      </c>
      <c r="B292" s="1">
        <v>3</v>
      </c>
      <c r="C292" s="1">
        <v>37</v>
      </c>
      <c r="D292" s="1">
        <v>10.3</v>
      </c>
      <c r="E292" s="1">
        <v>11.1</v>
      </c>
      <c r="F292" s="1" t="s">
        <v>13</v>
      </c>
      <c r="G292" s="2">
        <v>45482</v>
      </c>
      <c r="H292" s="2">
        <v>0.63922766203703707</v>
      </c>
      <c r="I292" s="1">
        <v>291</v>
      </c>
      <c r="J292" s="1">
        <v>941</v>
      </c>
      <c r="K292" s="1">
        <v>50.4</v>
      </c>
      <c r="L292" s="1" t="s">
        <v>304</v>
      </c>
    </row>
    <row r="293" spans="1:12" x14ac:dyDescent="0.25">
      <c r="A293" t="s">
        <v>12</v>
      </c>
      <c r="B293" s="1">
        <v>4</v>
      </c>
      <c r="C293" s="1">
        <v>37</v>
      </c>
      <c r="D293" s="1">
        <v>10.56</v>
      </c>
      <c r="E293" s="1">
        <v>10.8</v>
      </c>
      <c r="F293" s="1" t="s">
        <v>13</v>
      </c>
      <c r="G293" s="2">
        <v>45482</v>
      </c>
      <c r="H293" s="2">
        <v>0.63980424768518518</v>
      </c>
      <c r="I293" s="1">
        <v>292</v>
      </c>
      <c r="J293" s="1">
        <v>917</v>
      </c>
      <c r="K293" s="1">
        <v>49.7</v>
      </c>
      <c r="L293" s="1" t="s">
        <v>305</v>
      </c>
    </row>
    <row r="294" spans="1:12" x14ac:dyDescent="0.25">
      <c r="A294" t="s">
        <v>12</v>
      </c>
      <c r="B294" s="1">
        <v>5</v>
      </c>
      <c r="C294" s="1">
        <v>37</v>
      </c>
      <c r="D294" s="1">
        <v>10.54</v>
      </c>
      <c r="E294" s="1">
        <v>11.5</v>
      </c>
      <c r="F294" s="1" t="s">
        <v>13</v>
      </c>
      <c r="G294" s="2">
        <v>45482</v>
      </c>
      <c r="H294" s="2">
        <v>0.64034537037037031</v>
      </c>
      <c r="I294" s="1">
        <v>293</v>
      </c>
      <c r="J294" s="1">
        <v>959</v>
      </c>
      <c r="K294" s="1">
        <v>49.4</v>
      </c>
      <c r="L294" s="1" t="s">
        <v>306</v>
      </c>
    </row>
    <row r="295" spans="1:12" x14ac:dyDescent="0.25">
      <c r="A295" t="s">
        <v>12</v>
      </c>
      <c r="B295" s="1">
        <v>6</v>
      </c>
      <c r="C295" s="1">
        <v>37</v>
      </c>
      <c r="D295" s="1">
        <v>16.11</v>
      </c>
      <c r="E295" s="1">
        <v>11.2</v>
      </c>
      <c r="F295" s="1" t="s">
        <v>13</v>
      </c>
      <c r="G295" s="2">
        <v>45482</v>
      </c>
      <c r="H295" s="2">
        <v>0.64135408564814822</v>
      </c>
      <c r="I295" s="1">
        <v>294</v>
      </c>
      <c r="J295" s="1">
        <v>940</v>
      </c>
      <c r="K295" s="1">
        <v>49.2</v>
      </c>
      <c r="L295" s="1" t="s">
        <v>307</v>
      </c>
    </row>
    <row r="296" spans="1:12" x14ac:dyDescent="0.25">
      <c r="A296" t="s">
        <v>12</v>
      </c>
      <c r="B296" s="1">
        <v>7</v>
      </c>
      <c r="C296" s="1">
        <v>37</v>
      </c>
      <c r="D296" s="1">
        <v>3.3</v>
      </c>
      <c r="E296" s="1">
        <v>11.6</v>
      </c>
      <c r="F296" s="1" t="s">
        <v>13</v>
      </c>
      <c r="G296" s="2">
        <v>45482</v>
      </c>
      <c r="H296" s="2">
        <v>0.64212137731481478</v>
      </c>
      <c r="I296" s="1">
        <v>295</v>
      </c>
      <c r="J296" s="1">
        <v>969</v>
      </c>
      <c r="K296" s="1">
        <v>50</v>
      </c>
      <c r="L296" s="1" t="s">
        <v>308</v>
      </c>
    </row>
    <row r="297" spans="1:12" x14ac:dyDescent="0.25">
      <c r="A297" t="s">
        <v>12</v>
      </c>
      <c r="B297" s="1">
        <v>8</v>
      </c>
      <c r="C297" s="1">
        <v>37</v>
      </c>
      <c r="D297" s="1">
        <v>11.03</v>
      </c>
      <c r="E297" s="1">
        <v>11.9</v>
      </c>
      <c r="F297" s="1" t="s">
        <v>13</v>
      </c>
      <c r="G297" s="2">
        <v>45482</v>
      </c>
      <c r="H297" s="2">
        <v>0.64270489583333335</v>
      </c>
      <c r="I297" s="1">
        <v>296</v>
      </c>
      <c r="J297" s="1">
        <v>986</v>
      </c>
      <c r="K297" s="1">
        <v>49.7</v>
      </c>
      <c r="L297" s="1" t="s">
        <v>309</v>
      </c>
    </row>
    <row r="298" spans="1:12" x14ac:dyDescent="0.25">
      <c r="A298" t="s">
        <v>12</v>
      </c>
      <c r="B298" s="1">
        <v>8</v>
      </c>
      <c r="C298" s="1">
        <v>38</v>
      </c>
      <c r="D298" s="1">
        <v>10.53</v>
      </c>
      <c r="E298" s="1">
        <v>11.3</v>
      </c>
      <c r="F298" s="1" t="s">
        <v>13</v>
      </c>
      <c r="G298" s="2">
        <v>45482</v>
      </c>
      <c r="H298" s="2">
        <v>0.6433223032407408</v>
      </c>
      <c r="I298" s="1">
        <v>297</v>
      </c>
      <c r="J298" s="1">
        <v>945</v>
      </c>
      <c r="K298" s="1">
        <v>49.7</v>
      </c>
      <c r="L298" s="1" t="s">
        <v>310</v>
      </c>
    </row>
    <row r="299" spans="1:12" x14ac:dyDescent="0.25">
      <c r="A299" t="s">
        <v>12</v>
      </c>
      <c r="B299" s="1">
        <v>7</v>
      </c>
      <c r="C299" s="1">
        <v>38</v>
      </c>
      <c r="D299" s="1">
        <v>9.33</v>
      </c>
      <c r="E299" s="1">
        <v>11</v>
      </c>
      <c r="F299" s="1" t="s">
        <v>13</v>
      </c>
      <c r="G299" s="2">
        <v>45482</v>
      </c>
      <c r="H299" s="2">
        <v>0.64404575231481487</v>
      </c>
      <c r="I299" s="1">
        <v>298</v>
      </c>
      <c r="J299" s="1">
        <v>923</v>
      </c>
      <c r="K299" s="1">
        <v>49.3</v>
      </c>
      <c r="L299" s="1" t="s">
        <v>311</v>
      </c>
    </row>
    <row r="300" spans="1:12" x14ac:dyDescent="0.25">
      <c r="A300" t="s">
        <v>12</v>
      </c>
      <c r="B300" s="1">
        <v>6</v>
      </c>
      <c r="C300" s="1">
        <v>38</v>
      </c>
      <c r="D300" s="1">
        <v>12.29</v>
      </c>
      <c r="E300" s="1">
        <v>11.8</v>
      </c>
      <c r="F300" s="1" t="s">
        <v>13</v>
      </c>
      <c r="G300" s="2">
        <v>45482</v>
      </c>
      <c r="H300" s="2">
        <v>0.64463260416666668</v>
      </c>
      <c r="I300" s="1">
        <v>299</v>
      </c>
      <c r="J300" s="1">
        <v>980</v>
      </c>
      <c r="K300" s="1">
        <v>49.3</v>
      </c>
      <c r="L300" s="1" t="s">
        <v>312</v>
      </c>
    </row>
    <row r="301" spans="1:12" x14ac:dyDescent="0.25">
      <c r="A301" t="s">
        <v>12</v>
      </c>
      <c r="B301" s="1">
        <v>5</v>
      </c>
      <c r="C301" s="1">
        <v>38</v>
      </c>
      <c r="D301" s="1">
        <v>10.95</v>
      </c>
      <c r="E301" s="1">
        <v>11.8</v>
      </c>
      <c r="F301" s="1" t="s">
        <v>13</v>
      </c>
      <c r="G301" s="2">
        <v>45482</v>
      </c>
      <c r="H301" s="2">
        <v>0.64519560185185187</v>
      </c>
      <c r="I301" s="1">
        <v>300</v>
      </c>
      <c r="J301" s="1">
        <v>976</v>
      </c>
      <c r="K301" s="1">
        <v>48.9</v>
      </c>
      <c r="L301" s="1" t="s">
        <v>313</v>
      </c>
    </row>
    <row r="302" spans="1:12" x14ac:dyDescent="0.25">
      <c r="A302" t="s">
        <v>12</v>
      </c>
      <c r="B302" s="1">
        <v>4</v>
      </c>
      <c r="C302" s="1">
        <v>38</v>
      </c>
      <c r="D302" s="1">
        <v>11.43</v>
      </c>
      <c r="E302" s="1">
        <v>12.4</v>
      </c>
      <c r="F302" s="1" t="s">
        <v>13</v>
      </c>
      <c r="G302" s="2">
        <v>45482</v>
      </c>
      <c r="H302" s="2">
        <v>0.64590494212962968</v>
      </c>
      <c r="I302" s="1">
        <v>301</v>
      </c>
      <c r="J302" s="1">
        <v>1015</v>
      </c>
      <c r="K302" s="1">
        <v>49.3</v>
      </c>
      <c r="L302" s="1" t="s">
        <v>314</v>
      </c>
    </row>
    <row r="303" spans="1:12" x14ac:dyDescent="0.25">
      <c r="A303" t="s">
        <v>12</v>
      </c>
      <c r="B303" s="1">
        <v>3</v>
      </c>
      <c r="C303" s="1">
        <v>38</v>
      </c>
      <c r="D303" s="1">
        <v>10.25</v>
      </c>
      <c r="E303" s="1">
        <v>11.6</v>
      </c>
      <c r="F303" s="1" t="s">
        <v>13</v>
      </c>
      <c r="G303" s="2">
        <v>45482</v>
      </c>
      <c r="H303" s="2">
        <v>0.64666408564814815</v>
      </c>
      <c r="I303" s="1">
        <v>302</v>
      </c>
      <c r="J303" s="1">
        <v>967</v>
      </c>
      <c r="K303" s="1">
        <v>49.6</v>
      </c>
      <c r="L303" s="1" t="s">
        <v>315</v>
      </c>
    </row>
    <row r="304" spans="1:12" x14ac:dyDescent="0.25">
      <c r="A304" t="s">
        <v>12</v>
      </c>
      <c r="B304" s="1">
        <v>2</v>
      </c>
      <c r="C304" s="1">
        <v>38</v>
      </c>
      <c r="D304" s="1">
        <v>11.03</v>
      </c>
      <c r="E304" s="1">
        <v>14.6</v>
      </c>
      <c r="F304" s="1" t="s">
        <v>13</v>
      </c>
      <c r="G304" s="2">
        <v>45482</v>
      </c>
      <c r="H304" s="2">
        <v>0.64715686342592593</v>
      </c>
      <c r="I304" s="1">
        <v>303</v>
      </c>
      <c r="J304" s="1">
        <v>1139</v>
      </c>
      <c r="K304" s="1">
        <v>49.4</v>
      </c>
      <c r="L304" s="1" t="s">
        <v>316</v>
      </c>
    </row>
    <row r="305" spans="1:12" x14ac:dyDescent="0.25">
      <c r="A305" t="s">
        <v>12</v>
      </c>
      <c r="B305" s="1">
        <v>1</v>
      </c>
      <c r="C305" s="1">
        <v>38</v>
      </c>
      <c r="D305" s="1">
        <v>11.54</v>
      </c>
      <c r="E305" s="1">
        <v>12.8</v>
      </c>
      <c r="F305" s="1" t="s">
        <v>13</v>
      </c>
      <c r="G305" s="2">
        <v>45482</v>
      </c>
      <c r="H305" s="2">
        <v>0.64765512731481478</v>
      </c>
      <c r="I305" s="1">
        <v>304</v>
      </c>
      <c r="J305" s="1">
        <v>1039</v>
      </c>
      <c r="K305" s="1">
        <v>49.3</v>
      </c>
      <c r="L305" s="1" t="s">
        <v>317</v>
      </c>
    </row>
    <row r="306" spans="1:12" x14ac:dyDescent="0.25">
      <c r="A306" t="s">
        <v>12</v>
      </c>
      <c r="B306" s="1">
        <v>1</v>
      </c>
      <c r="C306" s="1">
        <v>39</v>
      </c>
      <c r="D306" s="1">
        <v>11.74</v>
      </c>
      <c r="E306" s="1">
        <v>11.6</v>
      </c>
      <c r="F306" s="1" t="s">
        <v>13</v>
      </c>
      <c r="G306" s="2">
        <v>45482</v>
      </c>
      <c r="H306" s="2">
        <v>0.64832079861111114</v>
      </c>
      <c r="I306" s="1">
        <v>305</v>
      </c>
      <c r="J306" s="1">
        <v>969</v>
      </c>
      <c r="K306" s="1">
        <v>49.6</v>
      </c>
      <c r="L306" s="1" t="s">
        <v>318</v>
      </c>
    </row>
    <row r="307" spans="1:12" x14ac:dyDescent="0.25">
      <c r="A307" t="s">
        <v>12</v>
      </c>
      <c r="B307" s="1">
        <v>2</v>
      </c>
      <c r="C307" s="1">
        <v>39</v>
      </c>
      <c r="D307" s="1">
        <v>12.16</v>
      </c>
      <c r="E307" s="1">
        <v>11.3</v>
      </c>
      <c r="F307" s="1" t="s">
        <v>13</v>
      </c>
      <c r="G307" s="2">
        <v>45482</v>
      </c>
      <c r="H307" s="2">
        <v>0.6490471874999999</v>
      </c>
      <c r="I307" s="1">
        <v>306</v>
      </c>
      <c r="J307" s="1">
        <v>943</v>
      </c>
      <c r="K307" s="1">
        <v>49.3</v>
      </c>
      <c r="L307" s="1" t="s">
        <v>319</v>
      </c>
    </row>
    <row r="308" spans="1:12" x14ac:dyDescent="0.25">
      <c r="A308" t="s">
        <v>12</v>
      </c>
      <c r="B308" s="1">
        <v>3</v>
      </c>
      <c r="C308" s="1">
        <v>39</v>
      </c>
      <c r="D308" s="1">
        <v>12.3</v>
      </c>
      <c r="E308" s="1">
        <v>11.8</v>
      </c>
      <c r="F308" s="1" t="s">
        <v>13</v>
      </c>
      <c r="G308" s="2">
        <v>45482</v>
      </c>
      <c r="H308" s="2">
        <v>0.64962781250000001</v>
      </c>
      <c r="I308" s="1">
        <v>307</v>
      </c>
      <c r="J308" s="1">
        <v>980</v>
      </c>
      <c r="K308" s="1">
        <v>49.2</v>
      </c>
      <c r="L308" s="1" t="s">
        <v>320</v>
      </c>
    </row>
    <row r="309" spans="1:12" x14ac:dyDescent="0.25">
      <c r="A309" t="s">
        <v>12</v>
      </c>
      <c r="B309" s="1">
        <v>4</v>
      </c>
      <c r="C309" s="1">
        <v>39</v>
      </c>
      <c r="D309" s="1">
        <v>12.48</v>
      </c>
      <c r="E309" s="1">
        <v>12</v>
      </c>
      <c r="F309" s="1" t="s">
        <v>13</v>
      </c>
      <c r="G309" s="2">
        <v>45482</v>
      </c>
      <c r="H309" s="2">
        <v>0.65022438657407411</v>
      </c>
      <c r="I309" s="1">
        <v>308</v>
      </c>
      <c r="J309" s="1">
        <v>991</v>
      </c>
      <c r="K309" s="1">
        <v>49</v>
      </c>
      <c r="L309" s="1" t="s">
        <v>321</v>
      </c>
    </row>
    <row r="310" spans="1:12" x14ac:dyDescent="0.25">
      <c r="A310" t="s">
        <v>12</v>
      </c>
      <c r="B310" s="1">
        <v>5</v>
      </c>
      <c r="C310" s="1">
        <v>39</v>
      </c>
      <c r="D310" s="1">
        <v>10.14</v>
      </c>
      <c r="E310" s="1">
        <v>11.7</v>
      </c>
      <c r="F310" s="1" t="s">
        <v>13</v>
      </c>
      <c r="G310" s="2">
        <v>45482</v>
      </c>
      <c r="H310" s="2">
        <v>0.65075752314814805</v>
      </c>
      <c r="I310" s="1">
        <v>309</v>
      </c>
      <c r="J310" s="1">
        <v>967</v>
      </c>
      <c r="K310" s="1">
        <v>48.9</v>
      </c>
      <c r="L310" s="1" t="s">
        <v>322</v>
      </c>
    </row>
    <row r="311" spans="1:12" x14ac:dyDescent="0.25">
      <c r="A311" t="s">
        <v>12</v>
      </c>
      <c r="B311" s="1">
        <v>6</v>
      </c>
      <c r="C311" s="1">
        <v>39</v>
      </c>
      <c r="D311" s="1">
        <v>11.48</v>
      </c>
      <c r="E311" s="1">
        <v>11.6</v>
      </c>
      <c r="F311" s="1" t="s">
        <v>13</v>
      </c>
      <c r="G311" s="2">
        <v>45482</v>
      </c>
      <c r="H311" s="2">
        <v>0.65132723379629631</v>
      </c>
      <c r="I311" s="1">
        <v>310</v>
      </c>
      <c r="J311" s="1">
        <v>959</v>
      </c>
      <c r="K311" s="1">
        <v>48.9</v>
      </c>
      <c r="L311" s="1" t="s">
        <v>323</v>
      </c>
    </row>
    <row r="312" spans="1:12" x14ac:dyDescent="0.25">
      <c r="A312" t="s">
        <v>12</v>
      </c>
      <c r="B312" s="1">
        <v>7</v>
      </c>
      <c r="C312" s="1">
        <v>39</v>
      </c>
      <c r="D312" s="1">
        <v>9.41</v>
      </c>
      <c r="E312" s="1">
        <v>11.4</v>
      </c>
      <c r="F312" s="1" t="s">
        <v>13</v>
      </c>
      <c r="G312" s="2">
        <v>45482</v>
      </c>
      <c r="H312" s="2">
        <v>0.65177978009259252</v>
      </c>
      <c r="I312" s="1">
        <v>311</v>
      </c>
      <c r="J312" s="1">
        <v>951</v>
      </c>
      <c r="K312" s="1">
        <v>48.9</v>
      </c>
      <c r="L312" s="1" t="s">
        <v>324</v>
      </c>
    </row>
    <row r="313" spans="1:12" x14ac:dyDescent="0.25">
      <c r="A313" t="s">
        <v>12</v>
      </c>
      <c r="B313" s="1">
        <v>8</v>
      </c>
      <c r="C313" s="1">
        <v>39</v>
      </c>
      <c r="D313" s="1">
        <v>11.33</v>
      </c>
      <c r="E313" s="1">
        <v>11.4</v>
      </c>
      <c r="F313" s="1" t="s">
        <v>13</v>
      </c>
      <c r="G313" s="2">
        <v>45482</v>
      </c>
      <c r="H313" s="2">
        <v>0.65219093750000001</v>
      </c>
      <c r="I313" s="1">
        <v>312</v>
      </c>
      <c r="J313" s="1">
        <v>946</v>
      </c>
      <c r="K313" s="1">
        <v>48.6</v>
      </c>
      <c r="L313" s="1" t="s">
        <v>325</v>
      </c>
    </row>
    <row r="314" spans="1:12" x14ac:dyDescent="0.25">
      <c r="A314" t="s">
        <v>12</v>
      </c>
      <c r="B314" s="1">
        <v>8</v>
      </c>
      <c r="C314" s="1">
        <v>40</v>
      </c>
      <c r="D314" s="1">
        <v>12.06</v>
      </c>
      <c r="E314" s="1">
        <v>11.8</v>
      </c>
      <c r="F314" s="1" t="s">
        <v>13</v>
      </c>
      <c r="G314" s="2">
        <v>45482</v>
      </c>
      <c r="H314" s="2">
        <v>0.65298653935185191</v>
      </c>
      <c r="I314" s="1">
        <v>313</v>
      </c>
      <c r="J314" s="1">
        <v>975</v>
      </c>
      <c r="K314" s="1">
        <v>49.4</v>
      </c>
      <c r="L314" s="1" t="s">
        <v>326</v>
      </c>
    </row>
    <row r="315" spans="1:12" x14ac:dyDescent="0.25">
      <c r="A315" t="s">
        <v>12</v>
      </c>
      <c r="B315" s="1">
        <v>7</v>
      </c>
      <c r="C315" s="1">
        <v>40</v>
      </c>
      <c r="D315" s="1">
        <v>11.02</v>
      </c>
      <c r="E315" s="1">
        <v>11.7</v>
      </c>
      <c r="F315" s="1" t="s">
        <v>13</v>
      </c>
      <c r="G315" s="2">
        <v>45482</v>
      </c>
      <c r="H315" s="2">
        <v>0.65370570601851852</v>
      </c>
      <c r="I315" s="1">
        <v>314</v>
      </c>
      <c r="J315" s="1">
        <v>976</v>
      </c>
      <c r="K315" s="1">
        <v>49.9</v>
      </c>
      <c r="L315" s="1" t="s">
        <v>327</v>
      </c>
    </row>
    <row r="316" spans="1:12" x14ac:dyDescent="0.25">
      <c r="A316" t="s">
        <v>12</v>
      </c>
      <c r="B316" s="1">
        <v>6</v>
      </c>
      <c r="C316" s="1">
        <v>40</v>
      </c>
      <c r="D316" s="1">
        <v>10.44</v>
      </c>
      <c r="E316" s="1">
        <v>11.2</v>
      </c>
      <c r="F316" s="1" t="s">
        <v>13</v>
      </c>
      <c r="G316" s="2">
        <v>45482</v>
      </c>
      <c r="H316" s="2">
        <v>0.65427696759259257</v>
      </c>
      <c r="I316" s="1">
        <v>315</v>
      </c>
      <c r="J316" s="1">
        <v>939</v>
      </c>
      <c r="K316" s="1">
        <v>49.2</v>
      </c>
      <c r="L316" s="1" t="s">
        <v>328</v>
      </c>
    </row>
    <row r="317" spans="1:12" x14ac:dyDescent="0.25">
      <c r="A317" t="s">
        <v>12</v>
      </c>
      <c r="B317" s="1">
        <v>5</v>
      </c>
      <c r="C317" s="1">
        <v>40</v>
      </c>
      <c r="D317" s="1">
        <v>10.5</v>
      </c>
      <c r="E317" s="1">
        <v>11.1</v>
      </c>
      <c r="F317" s="1" t="s">
        <v>13</v>
      </c>
      <c r="G317" s="2">
        <v>45482</v>
      </c>
      <c r="H317" s="2">
        <v>0.65497075231481483</v>
      </c>
      <c r="I317" s="1">
        <v>316</v>
      </c>
      <c r="J317" s="1">
        <v>934</v>
      </c>
      <c r="K317" s="1">
        <v>49.2</v>
      </c>
      <c r="L317" s="1" t="s">
        <v>329</v>
      </c>
    </row>
    <row r="318" spans="1:12" x14ac:dyDescent="0.25">
      <c r="A318" t="s">
        <v>12</v>
      </c>
      <c r="B318" s="1">
        <v>4</v>
      </c>
      <c r="C318" s="1">
        <v>40</v>
      </c>
      <c r="D318" s="1">
        <v>11.63</v>
      </c>
      <c r="E318" s="1">
        <v>11.6</v>
      </c>
      <c r="F318" s="1" t="s">
        <v>13</v>
      </c>
      <c r="G318" s="2">
        <v>45482</v>
      </c>
      <c r="H318" s="2">
        <v>0.65554008101851846</v>
      </c>
      <c r="I318" s="1">
        <v>317</v>
      </c>
      <c r="J318" s="1">
        <v>966</v>
      </c>
      <c r="K318" s="1">
        <v>49.3</v>
      </c>
      <c r="L318" s="1" t="s">
        <v>330</v>
      </c>
    </row>
    <row r="319" spans="1:12" x14ac:dyDescent="0.25">
      <c r="A319" t="s">
        <v>12</v>
      </c>
      <c r="B319" s="1">
        <v>3</v>
      </c>
      <c r="C319" s="1">
        <v>40</v>
      </c>
      <c r="D319" s="1">
        <v>11.83</v>
      </c>
      <c r="E319" s="1">
        <v>11.6</v>
      </c>
      <c r="F319" s="1" t="s">
        <v>13</v>
      </c>
      <c r="G319" s="2">
        <v>45482</v>
      </c>
      <c r="H319" s="2">
        <v>0.65609814814814815</v>
      </c>
      <c r="I319" s="1">
        <v>318</v>
      </c>
      <c r="J319" s="1">
        <v>961</v>
      </c>
      <c r="K319" s="1">
        <v>49.2</v>
      </c>
      <c r="L319" s="1" t="s">
        <v>331</v>
      </c>
    </row>
    <row r="320" spans="1:12" x14ac:dyDescent="0.25">
      <c r="A320" t="s">
        <v>12</v>
      </c>
      <c r="B320" s="1">
        <v>2</v>
      </c>
      <c r="C320" s="1">
        <v>40</v>
      </c>
      <c r="D320" s="1">
        <v>12</v>
      </c>
      <c r="E320" s="1">
        <v>11.4</v>
      </c>
      <c r="F320" s="1" t="s">
        <v>13</v>
      </c>
      <c r="G320" s="2">
        <v>45482</v>
      </c>
      <c r="H320" s="2">
        <v>0.65665887731481476</v>
      </c>
      <c r="I320" s="1">
        <v>319</v>
      </c>
      <c r="J320" s="1">
        <v>950</v>
      </c>
      <c r="K320" s="1">
        <v>49.2</v>
      </c>
      <c r="L320" s="1" t="s">
        <v>332</v>
      </c>
    </row>
    <row r="321" spans="1:12" x14ac:dyDescent="0.25">
      <c r="A321" t="s">
        <v>12</v>
      </c>
      <c r="B321" s="1">
        <v>1</v>
      </c>
      <c r="C321" s="1">
        <v>40</v>
      </c>
      <c r="D321" s="1">
        <v>12.06</v>
      </c>
      <c r="E321" s="1">
        <v>11.7</v>
      </c>
      <c r="F321" s="1" t="s">
        <v>13</v>
      </c>
      <c r="G321" s="2">
        <v>45482</v>
      </c>
      <c r="H321" s="2">
        <v>0.65726218750000009</v>
      </c>
      <c r="I321" s="1">
        <v>320</v>
      </c>
      <c r="J321" s="1">
        <v>971</v>
      </c>
      <c r="K321" s="1">
        <v>49.4</v>
      </c>
      <c r="L321" s="1" t="s">
        <v>333</v>
      </c>
    </row>
    <row r="322" spans="1:12" x14ac:dyDescent="0.25">
      <c r="A322" t="s">
        <v>12</v>
      </c>
      <c r="B322" s="1">
        <v>1</v>
      </c>
      <c r="C322" s="1">
        <v>41</v>
      </c>
      <c r="D322" s="1">
        <v>11.76</v>
      </c>
      <c r="E322" s="1">
        <v>11.6</v>
      </c>
      <c r="F322" s="1" t="s">
        <v>13</v>
      </c>
      <c r="G322" s="2">
        <v>45482</v>
      </c>
      <c r="H322" s="2">
        <v>0.6679486921296296</v>
      </c>
      <c r="I322" s="1">
        <v>321</v>
      </c>
      <c r="J322" s="1">
        <v>981</v>
      </c>
      <c r="K322" s="1">
        <v>52</v>
      </c>
      <c r="L322" s="1" t="s">
        <v>334</v>
      </c>
    </row>
    <row r="323" spans="1:12" x14ac:dyDescent="0.25">
      <c r="A323" t="s">
        <v>12</v>
      </c>
      <c r="B323" s="1">
        <v>2</v>
      </c>
      <c r="C323" s="1">
        <v>41</v>
      </c>
      <c r="D323" s="1">
        <v>13.33</v>
      </c>
      <c r="E323" s="1">
        <v>11.7</v>
      </c>
      <c r="F323" s="1" t="s">
        <v>13</v>
      </c>
      <c r="G323" s="2">
        <v>45482</v>
      </c>
      <c r="H323" s="2">
        <v>0.66856084490740741</v>
      </c>
      <c r="I323" s="1">
        <v>322</v>
      </c>
      <c r="J323" s="1">
        <v>981</v>
      </c>
      <c r="K323" s="1">
        <v>51.2</v>
      </c>
      <c r="L323" s="1" t="s">
        <v>335</v>
      </c>
    </row>
    <row r="324" spans="1:12" x14ac:dyDescent="0.25">
      <c r="A324" t="s">
        <v>12</v>
      </c>
      <c r="B324" s="1">
        <v>3</v>
      </c>
      <c r="C324" s="1">
        <v>41</v>
      </c>
      <c r="D324" s="1">
        <v>12.43</v>
      </c>
      <c r="E324" s="1">
        <v>11.8</v>
      </c>
      <c r="F324" s="1" t="s">
        <v>13</v>
      </c>
      <c r="G324" s="2">
        <v>45482</v>
      </c>
      <c r="H324" s="2">
        <v>0.66919359953703694</v>
      </c>
      <c r="I324" s="1">
        <v>323</v>
      </c>
      <c r="J324" s="1">
        <v>988</v>
      </c>
      <c r="K324" s="1">
        <v>50.8</v>
      </c>
      <c r="L324" s="1" t="s">
        <v>336</v>
      </c>
    </row>
    <row r="325" spans="1:12" x14ac:dyDescent="0.25">
      <c r="A325" t="s">
        <v>12</v>
      </c>
      <c r="B325" s="1">
        <v>4</v>
      </c>
      <c r="C325" s="1">
        <v>41</v>
      </c>
      <c r="D325" s="1">
        <v>12.8</v>
      </c>
      <c r="E325" s="1">
        <v>11.7</v>
      </c>
      <c r="F325" s="1" t="s">
        <v>13</v>
      </c>
      <c r="G325" s="2">
        <v>45482</v>
      </c>
      <c r="H325" s="2">
        <v>0.66991681712962958</v>
      </c>
      <c r="I325" s="1">
        <v>324</v>
      </c>
      <c r="J325" s="1">
        <v>977</v>
      </c>
      <c r="K325" s="1">
        <v>50.1</v>
      </c>
      <c r="L325" s="1" t="s">
        <v>337</v>
      </c>
    </row>
    <row r="326" spans="1:12" x14ac:dyDescent="0.25">
      <c r="A326" t="s">
        <v>12</v>
      </c>
      <c r="B326" s="1">
        <v>5</v>
      </c>
      <c r="C326" s="1">
        <v>41</v>
      </c>
      <c r="D326" s="1">
        <v>5.21</v>
      </c>
      <c r="E326" s="1">
        <v>11.2</v>
      </c>
      <c r="F326" s="1" t="s">
        <v>13</v>
      </c>
      <c r="G326" s="2">
        <v>45482</v>
      </c>
      <c r="H326" s="2">
        <v>0.67048440972222223</v>
      </c>
      <c r="I326" s="1">
        <v>325</v>
      </c>
      <c r="J326" s="1">
        <v>940</v>
      </c>
      <c r="K326" s="1">
        <v>49.9</v>
      </c>
      <c r="L326" s="1" t="s">
        <v>338</v>
      </c>
    </row>
    <row r="327" spans="1:12" x14ac:dyDescent="0.25">
      <c r="A327" t="s">
        <v>12</v>
      </c>
      <c r="B327" s="1">
        <v>6</v>
      </c>
      <c r="C327" s="1">
        <v>41</v>
      </c>
      <c r="D327" s="1">
        <v>4.95</v>
      </c>
      <c r="E327" s="1">
        <v>10.9</v>
      </c>
      <c r="F327" s="1" t="s">
        <v>13</v>
      </c>
      <c r="G327" s="2">
        <v>45482</v>
      </c>
      <c r="H327" s="2">
        <v>0.67114371527777783</v>
      </c>
      <c r="I327" s="1">
        <v>326</v>
      </c>
      <c r="J327" s="1">
        <v>921</v>
      </c>
      <c r="K327" s="1">
        <v>49.9</v>
      </c>
      <c r="L327" s="1" t="s">
        <v>339</v>
      </c>
    </row>
    <row r="328" spans="1:12" x14ac:dyDescent="0.25">
      <c r="A328" t="s">
        <v>12</v>
      </c>
      <c r="B328" s="1">
        <v>7</v>
      </c>
      <c r="C328" s="1">
        <v>41</v>
      </c>
      <c r="D328" s="1">
        <v>10.02</v>
      </c>
      <c r="E328" s="1">
        <v>11.7</v>
      </c>
      <c r="F328" s="1" t="s">
        <v>13</v>
      </c>
      <c r="G328" s="2">
        <v>45482</v>
      </c>
      <c r="H328" s="2">
        <v>0.6716139699074074</v>
      </c>
      <c r="I328" s="1">
        <v>327</v>
      </c>
      <c r="J328" s="1">
        <v>974</v>
      </c>
      <c r="K328" s="1">
        <v>49.9</v>
      </c>
      <c r="L328" s="1" t="s">
        <v>340</v>
      </c>
    </row>
    <row r="329" spans="1:12" x14ac:dyDescent="0.25">
      <c r="A329" t="s">
        <v>12</v>
      </c>
      <c r="B329" s="1">
        <v>8</v>
      </c>
      <c r="C329" s="1">
        <v>41</v>
      </c>
      <c r="D329" s="1">
        <v>10.42</v>
      </c>
      <c r="E329" s="1">
        <v>11.7</v>
      </c>
      <c r="F329" s="1" t="s">
        <v>13</v>
      </c>
      <c r="G329" s="2">
        <v>45482</v>
      </c>
      <c r="H329" s="2">
        <v>0.67213846064814819</v>
      </c>
      <c r="I329" s="1">
        <v>328</v>
      </c>
      <c r="J329" s="1">
        <v>971</v>
      </c>
      <c r="K329" s="1">
        <v>49.6</v>
      </c>
      <c r="L329" s="1" t="s">
        <v>341</v>
      </c>
    </row>
    <row r="330" spans="1:12" x14ac:dyDescent="0.25">
      <c r="A330" t="s">
        <v>12</v>
      </c>
      <c r="B330" s="1">
        <v>8</v>
      </c>
      <c r="C330" s="1">
        <v>42</v>
      </c>
      <c r="D330" s="1">
        <v>11.59</v>
      </c>
      <c r="E330" s="1">
        <v>11.4</v>
      </c>
      <c r="F330" s="1" t="s">
        <v>13</v>
      </c>
      <c r="G330" s="2">
        <v>45482</v>
      </c>
      <c r="H330" s="2">
        <v>0.67288278935185186</v>
      </c>
      <c r="I330" s="1">
        <v>329</v>
      </c>
      <c r="J330" s="1">
        <v>952</v>
      </c>
      <c r="K330" s="1">
        <v>49.6</v>
      </c>
      <c r="L330" s="1" t="s">
        <v>342</v>
      </c>
    </row>
    <row r="331" spans="1:12" x14ac:dyDescent="0.25">
      <c r="A331" t="s">
        <v>12</v>
      </c>
      <c r="B331" s="1">
        <v>7</v>
      </c>
      <c r="C331" s="1">
        <v>42</v>
      </c>
      <c r="D331" s="1">
        <v>11.75</v>
      </c>
      <c r="E331" s="1">
        <v>11.3</v>
      </c>
      <c r="F331" s="1" t="s">
        <v>13</v>
      </c>
      <c r="G331" s="2">
        <v>45482</v>
      </c>
      <c r="H331" s="2">
        <v>0.67346238425925919</v>
      </c>
      <c r="I331" s="1">
        <v>330</v>
      </c>
      <c r="J331" s="1">
        <v>948</v>
      </c>
      <c r="K331" s="1">
        <v>49.3</v>
      </c>
      <c r="L331" s="1" t="s">
        <v>343</v>
      </c>
    </row>
    <row r="332" spans="1:12" x14ac:dyDescent="0.25">
      <c r="A332" t="s">
        <v>12</v>
      </c>
      <c r="B332" s="1">
        <v>6</v>
      </c>
      <c r="C332" s="1">
        <v>42</v>
      </c>
      <c r="D332" s="1">
        <v>10.33</v>
      </c>
      <c r="E332" s="1">
        <v>11.4</v>
      </c>
      <c r="F332" s="1" t="s">
        <v>13</v>
      </c>
      <c r="G332" s="2">
        <v>45482</v>
      </c>
      <c r="H332" s="2">
        <v>0.67411859953703701</v>
      </c>
      <c r="I332" s="1">
        <v>331</v>
      </c>
      <c r="J332" s="1">
        <v>952</v>
      </c>
      <c r="K332" s="1">
        <v>49.2</v>
      </c>
      <c r="L332" s="1" t="s">
        <v>344</v>
      </c>
    </row>
    <row r="333" spans="1:12" x14ac:dyDescent="0.25">
      <c r="A333" t="s">
        <v>12</v>
      </c>
      <c r="B333" s="1">
        <v>5</v>
      </c>
      <c r="C333" s="1">
        <v>42</v>
      </c>
      <c r="D333" s="1">
        <v>9.32</v>
      </c>
      <c r="E333" s="1">
        <v>10.3</v>
      </c>
      <c r="F333" s="1" t="s">
        <v>13</v>
      </c>
      <c r="G333" s="2">
        <v>45482</v>
      </c>
      <c r="H333" s="2">
        <v>0.67465277777777777</v>
      </c>
      <c r="I333" s="1">
        <v>332</v>
      </c>
      <c r="J333" s="1">
        <v>876</v>
      </c>
      <c r="K333" s="1">
        <v>49.2</v>
      </c>
      <c r="L333" s="1" t="s">
        <v>345</v>
      </c>
    </row>
    <row r="334" spans="1:12" x14ac:dyDescent="0.25">
      <c r="A334" t="s">
        <v>12</v>
      </c>
      <c r="B334" s="1">
        <v>4</v>
      </c>
      <c r="C334" s="1">
        <v>42</v>
      </c>
      <c r="D334" s="1">
        <v>10.53</v>
      </c>
      <c r="E334" s="1">
        <v>10.9</v>
      </c>
      <c r="F334" s="1" t="s">
        <v>13</v>
      </c>
      <c r="G334" s="2">
        <v>45482</v>
      </c>
      <c r="H334" s="2">
        <v>0.67529482638888894</v>
      </c>
      <c r="I334" s="1">
        <v>333</v>
      </c>
      <c r="J334" s="1">
        <v>918</v>
      </c>
      <c r="K334" s="1">
        <v>49.6</v>
      </c>
      <c r="L334" s="1" t="s">
        <v>346</v>
      </c>
    </row>
    <row r="335" spans="1:12" x14ac:dyDescent="0.25">
      <c r="A335" t="s">
        <v>12</v>
      </c>
      <c r="B335" s="1">
        <v>3</v>
      </c>
      <c r="C335" s="1">
        <v>42</v>
      </c>
      <c r="D335" s="1">
        <v>10.55</v>
      </c>
      <c r="E335" s="1">
        <v>11</v>
      </c>
      <c r="F335" s="1" t="s">
        <v>13</v>
      </c>
      <c r="G335" s="2">
        <v>45482</v>
      </c>
      <c r="H335" s="2">
        <v>0.67591736111111111</v>
      </c>
      <c r="I335" s="1">
        <v>334</v>
      </c>
      <c r="J335" s="1">
        <v>927</v>
      </c>
      <c r="K335" s="1">
        <v>49.4</v>
      </c>
      <c r="L335" s="1" t="s">
        <v>347</v>
      </c>
    </row>
    <row r="336" spans="1:12" x14ac:dyDescent="0.25">
      <c r="A336" t="s">
        <v>12</v>
      </c>
      <c r="B336" s="1">
        <v>2</v>
      </c>
      <c r="C336" s="1">
        <v>42</v>
      </c>
      <c r="D336" s="1">
        <v>10.58</v>
      </c>
      <c r="E336" s="1">
        <v>11.1</v>
      </c>
      <c r="F336" s="1" t="s">
        <v>13</v>
      </c>
      <c r="G336" s="2">
        <v>45482</v>
      </c>
      <c r="H336" s="2">
        <v>0.67661165509259258</v>
      </c>
      <c r="I336" s="1">
        <v>335</v>
      </c>
      <c r="J336" s="1">
        <v>931</v>
      </c>
      <c r="K336" s="1">
        <v>49.3</v>
      </c>
      <c r="L336" s="1" t="s">
        <v>348</v>
      </c>
    </row>
    <row r="337" spans="1:12" x14ac:dyDescent="0.25">
      <c r="A337" t="s">
        <v>12</v>
      </c>
      <c r="B337" s="1">
        <v>1</v>
      </c>
      <c r="C337" s="1">
        <v>42</v>
      </c>
      <c r="D337" s="1">
        <v>11.09</v>
      </c>
      <c r="E337" s="1">
        <v>11.8</v>
      </c>
      <c r="F337" s="1" t="s">
        <v>13</v>
      </c>
      <c r="G337" s="2">
        <v>45482</v>
      </c>
      <c r="H337" s="2">
        <v>0.67712688657407416</v>
      </c>
      <c r="I337" s="1">
        <v>336</v>
      </c>
      <c r="J337" s="1">
        <v>977</v>
      </c>
      <c r="K337" s="1">
        <v>49.4</v>
      </c>
      <c r="L337" s="1" t="s">
        <v>349</v>
      </c>
    </row>
    <row r="338" spans="1:12" x14ac:dyDescent="0.25">
      <c r="A338" t="s">
        <v>12</v>
      </c>
      <c r="B338" s="1">
        <v>1</v>
      </c>
      <c r="C338" s="1">
        <v>43</v>
      </c>
      <c r="D338" s="1">
        <v>10.91</v>
      </c>
      <c r="E338" s="1">
        <v>11.1</v>
      </c>
      <c r="F338" s="1" t="s">
        <v>13</v>
      </c>
      <c r="G338" s="2">
        <v>45482</v>
      </c>
      <c r="H338" s="2">
        <v>0.67794285879629623</v>
      </c>
      <c r="I338" s="1">
        <v>337</v>
      </c>
      <c r="J338" s="1">
        <v>935</v>
      </c>
      <c r="K338" s="1">
        <v>50.3</v>
      </c>
      <c r="L338" s="1" t="s">
        <v>350</v>
      </c>
    </row>
    <row r="339" spans="1:12" x14ac:dyDescent="0.25">
      <c r="A339" t="s">
        <v>12</v>
      </c>
      <c r="B339" s="1">
        <v>2</v>
      </c>
      <c r="C339" s="1">
        <v>43</v>
      </c>
      <c r="D339" s="1">
        <v>11.41</v>
      </c>
      <c r="E339" s="1">
        <v>11</v>
      </c>
      <c r="F339" s="1" t="s">
        <v>13</v>
      </c>
      <c r="G339" s="2">
        <v>45482</v>
      </c>
      <c r="H339" s="2">
        <v>0.67856851851851852</v>
      </c>
      <c r="I339" s="1">
        <v>338</v>
      </c>
      <c r="J339" s="1">
        <v>927</v>
      </c>
      <c r="K339" s="1">
        <v>49.9</v>
      </c>
      <c r="L339" s="1" t="s">
        <v>351</v>
      </c>
    </row>
    <row r="340" spans="1:12" x14ac:dyDescent="0.25">
      <c r="A340" t="s">
        <v>12</v>
      </c>
      <c r="B340" s="1">
        <v>3</v>
      </c>
      <c r="C340" s="1">
        <v>43</v>
      </c>
      <c r="D340" s="1">
        <v>11.49</v>
      </c>
      <c r="E340" s="1">
        <v>11.2</v>
      </c>
      <c r="F340" s="1" t="s">
        <v>13</v>
      </c>
      <c r="G340" s="2">
        <v>45482</v>
      </c>
      <c r="H340" s="2">
        <v>0.67923059027777777</v>
      </c>
      <c r="I340" s="1">
        <v>339</v>
      </c>
      <c r="J340" s="1">
        <v>941</v>
      </c>
      <c r="K340" s="1">
        <v>50.1</v>
      </c>
      <c r="L340" s="1" t="s">
        <v>352</v>
      </c>
    </row>
    <row r="341" spans="1:12" x14ac:dyDescent="0.25">
      <c r="A341" t="s">
        <v>12</v>
      </c>
      <c r="B341" s="1">
        <v>4</v>
      </c>
      <c r="C341" s="1">
        <v>43</v>
      </c>
      <c r="D341" s="1">
        <v>11.35</v>
      </c>
      <c r="E341" s="1">
        <v>11.1</v>
      </c>
      <c r="F341" s="1" t="s">
        <v>13</v>
      </c>
      <c r="G341" s="2">
        <v>45482</v>
      </c>
      <c r="H341" s="2">
        <v>0.67984417824074073</v>
      </c>
      <c r="I341" s="1">
        <v>340</v>
      </c>
      <c r="J341" s="1">
        <v>934</v>
      </c>
      <c r="K341" s="1">
        <v>50</v>
      </c>
      <c r="L341" s="1" t="s">
        <v>353</v>
      </c>
    </row>
    <row r="342" spans="1:12" x14ac:dyDescent="0.25">
      <c r="A342" t="s">
        <v>12</v>
      </c>
      <c r="B342" s="1">
        <v>5</v>
      </c>
      <c r="C342" s="1">
        <v>43</v>
      </c>
      <c r="D342" s="1">
        <v>12.14</v>
      </c>
      <c r="E342" s="1">
        <v>11.2</v>
      </c>
      <c r="F342" s="1" t="s">
        <v>13</v>
      </c>
      <c r="G342" s="2">
        <v>45482</v>
      </c>
      <c r="H342" s="2">
        <v>0.6805357291666666</v>
      </c>
      <c r="I342" s="1">
        <v>341</v>
      </c>
      <c r="J342" s="1">
        <v>944</v>
      </c>
      <c r="K342" s="1">
        <v>50.1</v>
      </c>
      <c r="L342" s="1" t="s">
        <v>354</v>
      </c>
    </row>
    <row r="343" spans="1:12" x14ac:dyDescent="0.25">
      <c r="A343" t="s">
        <v>12</v>
      </c>
      <c r="B343" s="1">
        <v>6</v>
      </c>
      <c r="C343" s="1">
        <v>43</v>
      </c>
      <c r="D343" s="1">
        <v>12.38</v>
      </c>
      <c r="E343" s="1">
        <v>11</v>
      </c>
      <c r="F343" s="1" t="s">
        <v>13</v>
      </c>
      <c r="G343" s="2">
        <v>45482</v>
      </c>
      <c r="H343" s="2">
        <v>0.68124571759259256</v>
      </c>
      <c r="I343" s="1">
        <v>342</v>
      </c>
      <c r="J343" s="1">
        <v>927</v>
      </c>
      <c r="K343" s="1">
        <v>50.1</v>
      </c>
      <c r="L343" s="1" t="s">
        <v>355</v>
      </c>
    </row>
    <row r="344" spans="1:12" x14ac:dyDescent="0.25">
      <c r="A344" t="s">
        <v>12</v>
      </c>
      <c r="B344" s="1">
        <v>7</v>
      </c>
      <c r="C344" s="1">
        <v>43</v>
      </c>
      <c r="D344" s="1">
        <v>11.4</v>
      </c>
      <c r="E344" s="1">
        <v>11.6</v>
      </c>
      <c r="F344" s="1" t="s">
        <v>13</v>
      </c>
      <c r="G344" s="2">
        <v>45482</v>
      </c>
      <c r="H344" s="2">
        <v>0.68180760416666664</v>
      </c>
      <c r="I344" s="1">
        <v>343</v>
      </c>
      <c r="J344" s="1">
        <v>967</v>
      </c>
      <c r="K344" s="1">
        <v>49.9</v>
      </c>
      <c r="L344" s="1" t="s">
        <v>356</v>
      </c>
    </row>
    <row r="345" spans="1:12" x14ac:dyDescent="0.25">
      <c r="A345" t="s">
        <v>12</v>
      </c>
      <c r="B345" s="1">
        <v>8</v>
      </c>
      <c r="C345" s="1">
        <v>43</v>
      </c>
      <c r="D345" s="1">
        <v>12.1</v>
      </c>
      <c r="E345" s="1">
        <v>11.7</v>
      </c>
      <c r="F345" s="1" t="s">
        <v>13</v>
      </c>
      <c r="G345" s="2">
        <v>45482</v>
      </c>
      <c r="H345" s="2">
        <v>0.68230000000000002</v>
      </c>
      <c r="I345" s="1">
        <v>344</v>
      </c>
      <c r="J345" s="1">
        <v>971</v>
      </c>
      <c r="K345" s="1">
        <v>49.6</v>
      </c>
      <c r="L345" s="1" t="s">
        <v>357</v>
      </c>
    </row>
    <row r="346" spans="1:12" x14ac:dyDescent="0.25">
      <c r="A346" t="s">
        <v>12</v>
      </c>
      <c r="B346" s="1">
        <v>8</v>
      </c>
      <c r="C346" s="1">
        <v>44</v>
      </c>
      <c r="D346" s="1">
        <v>11.1</v>
      </c>
      <c r="E346" s="1">
        <v>11.3</v>
      </c>
      <c r="F346" s="1" t="s">
        <v>13</v>
      </c>
      <c r="G346" s="2">
        <v>45482</v>
      </c>
      <c r="H346" s="2">
        <v>0.68308140046296295</v>
      </c>
      <c r="I346" s="1">
        <v>345</v>
      </c>
      <c r="J346" s="1">
        <v>949</v>
      </c>
      <c r="K346" s="1">
        <v>50</v>
      </c>
      <c r="L346" s="1" t="s">
        <v>358</v>
      </c>
    </row>
    <row r="347" spans="1:12" x14ac:dyDescent="0.25">
      <c r="A347" t="s">
        <v>12</v>
      </c>
      <c r="B347" s="1">
        <v>7</v>
      </c>
      <c r="C347" s="1">
        <v>44</v>
      </c>
      <c r="D347" s="1">
        <v>10.6</v>
      </c>
      <c r="E347" s="1">
        <v>11.2</v>
      </c>
      <c r="F347" s="1" t="s">
        <v>13</v>
      </c>
      <c r="G347" s="2">
        <v>45482</v>
      </c>
      <c r="H347" s="2">
        <v>0.68366026620370368</v>
      </c>
      <c r="I347" s="1">
        <v>346</v>
      </c>
      <c r="J347" s="1">
        <v>939</v>
      </c>
      <c r="K347" s="1">
        <v>49.7</v>
      </c>
      <c r="L347" s="1" t="s">
        <v>359</v>
      </c>
    </row>
    <row r="348" spans="1:12" x14ac:dyDescent="0.25">
      <c r="A348" t="s">
        <v>12</v>
      </c>
      <c r="B348" s="1">
        <v>6</v>
      </c>
      <c r="C348" s="1">
        <v>44</v>
      </c>
      <c r="D348" s="1">
        <v>12.26</v>
      </c>
      <c r="E348" s="1">
        <v>11.8</v>
      </c>
      <c r="F348" s="1" t="s">
        <v>13</v>
      </c>
      <c r="G348" s="2">
        <v>45482</v>
      </c>
      <c r="H348" s="2">
        <v>0.68422939814814809</v>
      </c>
      <c r="I348" s="1">
        <v>347</v>
      </c>
      <c r="J348" s="1">
        <v>982</v>
      </c>
      <c r="K348" s="1">
        <v>49.7</v>
      </c>
      <c r="L348" s="1" t="s">
        <v>360</v>
      </c>
    </row>
    <row r="349" spans="1:12" x14ac:dyDescent="0.25">
      <c r="A349" t="s">
        <v>12</v>
      </c>
      <c r="B349" s="1">
        <v>5</v>
      </c>
      <c r="C349" s="1">
        <v>44</v>
      </c>
      <c r="D349" s="1">
        <v>13.14</v>
      </c>
      <c r="E349" s="1">
        <v>11.8</v>
      </c>
      <c r="F349" s="1" t="s">
        <v>13</v>
      </c>
      <c r="G349" s="2">
        <v>45482</v>
      </c>
      <c r="H349" s="2">
        <v>0.68503298611111108</v>
      </c>
      <c r="I349" s="1">
        <v>348</v>
      </c>
      <c r="J349" s="1">
        <v>975</v>
      </c>
      <c r="K349" s="1">
        <v>49.2</v>
      </c>
      <c r="L349" s="1" t="s">
        <v>361</v>
      </c>
    </row>
    <row r="350" spans="1:12" x14ac:dyDescent="0.25">
      <c r="A350" t="s">
        <v>12</v>
      </c>
      <c r="B350" s="1">
        <v>4</v>
      </c>
      <c r="C350" s="1">
        <v>44</v>
      </c>
      <c r="D350" s="1">
        <v>11.29</v>
      </c>
      <c r="E350" s="1">
        <v>11.6</v>
      </c>
      <c r="F350" s="1" t="s">
        <v>13</v>
      </c>
      <c r="G350" s="2">
        <v>45482</v>
      </c>
      <c r="H350" s="2">
        <v>0.6855302893518519</v>
      </c>
      <c r="I350" s="1">
        <v>349</v>
      </c>
      <c r="J350" s="1">
        <v>964</v>
      </c>
      <c r="K350" s="1">
        <v>48.9</v>
      </c>
      <c r="L350" s="1" t="s">
        <v>362</v>
      </c>
    </row>
    <row r="351" spans="1:12" x14ac:dyDescent="0.25">
      <c r="A351" t="s">
        <v>12</v>
      </c>
      <c r="B351" s="1">
        <v>3</v>
      </c>
      <c r="C351" s="1">
        <v>44</v>
      </c>
      <c r="D351" s="1">
        <v>11.48</v>
      </c>
      <c r="E351" s="1">
        <v>11.8</v>
      </c>
      <c r="F351" s="1" t="s">
        <v>13</v>
      </c>
      <c r="G351" s="2">
        <v>45482</v>
      </c>
      <c r="H351" s="2">
        <v>0.68610413194444453</v>
      </c>
      <c r="I351" s="1">
        <v>350</v>
      </c>
      <c r="J351" s="1">
        <v>975</v>
      </c>
      <c r="K351" s="1">
        <v>49</v>
      </c>
      <c r="L351" s="1" t="s">
        <v>363</v>
      </c>
    </row>
    <row r="352" spans="1:12" x14ac:dyDescent="0.25">
      <c r="A352" t="s">
        <v>12</v>
      </c>
      <c r="B352" s="1">
        <v>2</v>
      </c>
      <c r="C352" s="1">
        <v>44</v>
      </c>
      <c r="D352" s="1">
        <v>11.47</v>
      </c>
      <c r="E352" s="1">
        <v>11.5</v>
      </c>
      <c r="F352" s="1" t="s">
        <v>13</v>
      </c>
      <c r="G352" s="2">
        <v>45482</v>
      </c>
      <c r="H352" s="2">
        <v>0.68664545138888899</v>
      </c>
      <c r="I352" s="1">
        <v>351</v>
      </c>
      <c r="J352" s="1">
        <v>958</v>
      </c>
      <c r="K352" s="1">
        <v>49.2</v>
      </c>
      <c r="L352" s="1" t="s">
        <v>364</v>
      </c>
    </row>
    <row r="353" spans="1:12" x14ac:dyDescent="0.25">
      <c r="A353" t="s">
        <v>12</v>
      </c>
      <c r="B353" s="1">
        <v>1</v>
      </c>
      <c r="C353" s="1">
        <v>44</v>
      </c>
      <c r="D353" s="1">
        <v>11.14</v>
      </c>
      <c r="E353" s="1">
        <v>11</v>
      </c>
      <c r="F353" s="1" t="s">
        <v>13</v>
      </c>
      <c r="G353" s="2">
        <v>45482</v>
      </c>
      <c r="H353" s="2">
        <v>0.68710300925925927</v>
      </c>
      <c r="I353" s="1">
        <v>352</v>
      </c>
      <c r="J353" s="1">
        <v>924</v>
      </c>
      <c r="K353" s="1">
        <v>48.8</v>
      </c>
      <c r="L353" s="1" t="s">
        <v>365</v>
      </c>
    </row>
    <row r="354" spans="1:12" x14ac:dyDescent="0.25">
      <c r="A354" t="s">
        <v>12</v>
      </c>
      <c r="B354" s="1">
        <v>1</v>
      </c>
      <c r="C354" s="1">
        <v>45</v>
      </c>
      <c r="D354" s="1">
        <v>9.92</v>
      </c>
      <c r="E354" s="1">
        <v>11.1</v>
      </c>
      <c r="F354" s="1" t="s">
        <v>13</v>
      </c>
      <c r="G354" s="2">
        <v>45482</v>
      </c>
      <c r="H354" s="2">
        <v>0.69031026620370373</v>
      </c>
      <c r="I354" s="1">
        <v>353</v>
      </c>
      <c r="J354" s="1">
        <v>948</v>
      </c>
      <c r="K354" s="1">
        <v>51.6</v>
      </c>
      <c r="L354" s="1" t="s">
        <v>366</v>
      </c>
    </row>
    <row r="355" spans="1:12" x14ac:dyDescent="0.25">
      <c r="A355" t="s">
        <v>12</v>
      </c>
      <c r="B355" s="1">
        <v>2</v>
      </c>
      <c r="C355" s="1">
        <v>45</v>
      </c>
      <c r="D355" s="1">
        <v>9.85</v>
      </c>
      <c r="E355" s="1">
        <v>10.7</v>
      </c>
      <c r="F355" s="1" t="s">
        <v>13</v>
      </c>
      <c r="G355" s="2">
        <v>45482</v>
      </c>
      <c r="H355" s="2">
        <v>0.69082241898148145</v>
      </c>
      <c r="I355" s="1">
        <v>354</v>
      </c>
      <c r="J355" s="1">
        <v>912</v>
      </c>
      <c r="K355" s="1">
        <v>50.4</v>
      </c>
      <c r="L355" s="1" t="s">
        <v>367</v>
      </c>
    </row>
    <row r="356" spans="1:12" x14ac:dyDescent="0.25">
      <c r="A356" t="s">
        <v>12</v>
      </c>
      <c r="B356" s="1">
        <v>3</v>
      </c>
      <c r="C356" s="1">
        <v>45</v>
      </c>
      <c r="D356" s="1">
        <v>10</v>
      </c>
      <c r="E356" s="1">
        <v>11.2</v>
      </c>
      <c r="F356" s="1" t="s">
        <v>13</v>
      </c>
      <c r="G356" s="2">
        <v>45482</v>
      </c>
      <c r="H356" s="2">
        <v>0.69128711805555554</v>
      </c>
      <c r="I356" s="1">
        <v>355</v>
      </c>
      <c r="J356" s="1">
        <v>945</v>
      </c>
      <c r="K356" s="1">
        <v>50</v>
      </c>
      <c r="L356" s="1" t="s">
        <v>368</v>
      </c>
    </row>
    <row r="357" spans="1:12" x14ac:dyDescent="0.25">
      <c r="A357" t="s">
        <v>12</v>
      </c>
      <c r="B357" s="1">
        <v>4</v>
      </c>
      <c r="C357" s="1">
        <v>45</v>
      </c>
      <c r="D357" s="1">
        <v>10.56</v>
      </c>
      <c r="E357" s="1">
        <v>11</v>
      </c>
      <c r="F357" s="1" t="s">
        <v>13</v>
      </c>
      <c r="G357" s="2">
        <v>45482</v>
      </c>
      <c r="H357" s="2">
        <v>0.69179374999999999</v>
      </c>
      <c r="I357" s="1">
        <v>356</v>
      </c>
      <c r="J357" s="1">
        <v>924</v>
      </c>
      <c r="K357" s="1">
        <v>49.4</v>
      </c>
      <c r="L357" s="1" t="s">
        <v>369</v>
      </c>
    </row>
    <row r="358" spans="1:12" x14ac:dyDescent="0.25">
      <c r="A358" t="s">
        <v>12</v>
      </c>
      <c r="B358" s="1">
        <v>5</v>
      </c>
      <c r="C358" s="1">
        <v>45</v>
      </c>
      <c r="D358" s="1">
        <v>12.26</v>
      </c>
      <c r="E358" s="1">
        <v>11.2</v>
      </c>
      <c r="F358" s="1" t="s">
        <v>13</v>
      </c>
      <c r="G358" s="2">
        <v>45482</v>
      </c>
      <c r="H358" s="2">
        <v>0.69236909722222217</v>
      </c>
      <c r="I358" s="1">
        <v>357</v>
      </c>
      <c r="J358" s="1">
        <v>939</v>
      </c>
      <c r="K358" s="1">
        <v>49.3</v>
      </c>
      <c r="L358" s="1" t="s">
        <v>370</v>
      </c>
    </row>
    <row r="359" spans="1:12" x14ac:dyDescent="0.25">
      <c r="A359" t="s">
        <v>12</v>
      </c>
      <c r="B359" s="1">
        <v>6</v>
      </c>
      <c r="C359" s="1">
        <v>45</v>
      </c>
      <c r="D359" s="1">
        <v>12.41</v>
      </c>
      <c r="E359" s="1">
        <v>11.1</v>
      </c>
      <c r="F359" s="1" t="s">
        <v>13</v>
      </c>
      <c r="G359" s="2">
        <v>45482</v>
      </c>
      <c r="H359" s="2">
        <v>0.69291782407407398</v>
      </c>
      <c r="I359" s="1">
        <v>358</v>
      </c>
      <c r="J359" s="1">
        <v>931</v>
      </c>
      <c r="K359" s="1">
        <v>49.3</v>
      </c>
      <c r="L359" s="1" t="s">
        <v>371</v>
      </c>
    </row>
    <row r="360" spans="1:12" x14ac:dyDescent="0.25">
      <c r="A360" t="s">
        <v>12</v>
      </c>
      <c r="B360" s="1">
        <v>7</v>
      </c>
      <c r="C360" s="1">
        <v>45</v>
      </c>
      <c r="D360" s="1">
        <v>10.8</v>
      </c>
      <c r="E360" s="1">
        <v>11.6</v>
      </c>
      <c r="F360" s="1" t="s">
        <v>13</v>
      </c>
      <c r="G360" s="2">
        <v>45482</v>
      </c>
      <c r="H360" s="2">
        <v>0.69343067129629621</v>
      </c>
      <c r="I360" s="1">
        <v>359</v>
      </c>
      <c r="J360" s="1">
        <v>968</v>
      </c>
      <c r="K360" s="1">
        <v>49.4</v>
      </c>
      <c r="L360" s="1" t="s">
        <v>372</v>
      </c>
    </row>
    <row r="361" spans="1:12" x14ac:dyDescent="0.25">
      <c r="A361" t="s">
        <v>12</v>
      </c>
      <c r="B361" s="1">
        <v>8</v>
      </c>
      <c r="C361" s="1">
        <v>45</v>
      </c>
      <c r="D361" s="1">
        <v>11.37</v>
      </c>
      <c r="E361" s="1">
        <v>11.7</v>
      </c>
      <c r="F361" s="1" t="s">
        <v>13</v>
      </c>
      <c r="G361" s="2">
        <v>45482</v>
      </c>
      <c r="H361" s="2">
        <v>0.69419050925925918</v>
      </c>
      <c r="I361" s="1">
        <v>360</v>
      </c>
      <c r="J361" s="1">
        <v>968</v>
      </c>
      <c r="K361" s="1">
        <v>49</v>
      </c>
      <c r="L361" s="1" t="s">
        <v>373</v>
      </c>
    </row>
    <row r="362" spans="1:12" x14ac:dyDescent="0.25">
      <c r="A362" t="s">
        <v>12</v>
      </c>
      <c r="B362" s="1">
        <v>8</v>
      </c>
      <c r="C362" s="1">
        <v>46</v>
      </c>
      <c r="D362" s="1">
        <v>11.25</v>
      </c>
      <c r="E362" s="1">
        <v>11.9</v>
      </c>
      <c r="F362" s="1" t="s">
        <v>13</v>
      </c>
      <c r="G362" s="2">
        <v>45482</v>
      </c>
      <c r="H362" s="2">
        <v>0.69478703703703704</v>
      </c>
      <c r="I362" s="1">
        <v>361</v>
      </c>
      <c r="J362" s="1">
        <v>982</v>
      </c>
      <c r="K362" s="1">
        <v>49.4</v>
      </c>
      <c r="L362" s="1" t="s">
        <v>374</v>
      </c>
    </row>
    <row r="363" spans="1:12" x14ac:dyDescent="0.25">
      <c r="A363" t="s">
        <v>12</v>
      </c>
      <c r="B363" s="1">
        <v>7</v>
      </c>
      <c r="C363" s="1">
        <v>46</v>
      </c>
      <c r="D363" s="1">
        <v>11.22</v>
      </c>
      <c r="E363" s="1">
        <v>11.8</v>
      </c>
      <c r="F363" s="1" t="s">
        <v>13</v>
      </c>
      <c r="G363" s="2">
        <v>45482</v>
      </c>
      <c r="H363" s="2">
        <v>0.69539803240740738</v>
      </c>
      <c r="I363" s="1">
        <v>362</v>
      </c>
      <c r="J363" s="1">
        <v>975</v>
      </c>
      <c r="K363" s="1">
        <v>49.3</v>
      </c>
      <c r="L363" s="1" t="s">
        <v>375</v>
      </c>
    </row>
    <row r="364" spans="1:12" x14ac:dyDescent="0.25">
      <c r="A364" t="s">
        <v>12</v>
      </c>
      <c r="B364" s="1">
        <v>6</v>
      </c>
      <c r="C364" s="1">
        <v>46</v>
      </c>
      <c r="D364" s="1">
        <v>12.11</v>
      </c>
      <c r="E364" s="1">
        <v>11.3</v>
      </c>
      <c r="F364" s="1" t="s">
        <v>13</v>
      </c>
      <c r="G364" s="2">
        <v>45482</v>
      </c>
      <c r="H364" s="2">
        <v>0.69581728009259258</v>
      </c>
      <c r="I364" s="1">
        <v>363</v>
      </c>
      <c r="J364" s="1">
        <v>943</v>
      </c>
      <c r="K364" s="1">
        <v>48.9</v>
      </c>
      <c r="L364" s="1" t="s">
        <v>376</v>
      </c>
    </row>
    <row r="365" spans="1:12" x14ac:dyDescent="0.25">
      <c r="A365" t="s">
        <v>12</v>
      </c>
      <c r="B365" s="1">
        <v>5</v>
      </c>
      <c r="C365" s="1">
        <v>46</v>
      </c>
      <c r="D365" s="1">
        <v>12.54</v>
      </c>
      <c r="E365" s="1">
        <v>11</v>
      </c>
      <c r="F365" s="1" t="s">
        <v>13</v>
      </c>
      <c r="G365" s="2">
        <v>45482</v>
      </c>
      <c r="H365" s="2">
        <v>0.6964121875</v>
      </c>
      <c r="I365" s="1">
        <v>364</v>
      </c>
      <c r="J365" s="1">
        <v>922</v>
      </c>
      <c r="K365" s="1">
        <v>49</v>
      </c>
      <c r="L365" s="1" t="s">
        <v>377</v>
      </c>
    </row>
    <row r="366" spans="1:12" x14ac:dyDescent="0.25">
      <c r="A366" t="s">
        <v>12</v>
      </c>
      <c r="B366" s="1">
        <v>4</v>
      </c>
      <c r="C366" s="1">
        <v>46</v>
      </c>
      <c r="D366" s="1">
        <v>6.71</v>
      </c>
      <c r="E366" s="1">
        <v>13.3</v>
      </c>
      <c r="F366" s="1" t="s">
        <v>13</v>
      </c>
      <c r="G366" s="2">
        <v>45482</v>
      </c>
      <c r="H366" s="2">
        <v>0.69694216435185186</v>
      </c>
      <c r="I366" s="1">
        <v>365</v>
      </c>
      <c r="J366" s="1">
        <v>1068</v>
      </c>
      <c r="K366" s="1">
        <v>49</v>
      </c>
      <c r="L366" s="1" t="s">
        <v>378</v>
      </c>
    </row>
    <row r="367" spans="1:12" x14ac:dyDescent="0.25">
      <c r="A367" t="s">
        <v>12</v>
      </c>
      <c r="B367" s="1">
        <v>3</v>
      </c>
      <c r="C367" s="1">
        <v>46</v>
      </c>
      <c r="D367" s="1">
        <v>6.04</v>
      </c>
      <c r="E367" s="1">
        <v>10.8</v>
      </c>
      <c r="F367" s="1" t="s">
        <v>13</v>
      </c>
      <c r="G367" s="2">
        <v>45482</v>
      </c>
      <c r="H367" s="2">
        <v>0.69758630787037035</v>
      </c>
      <c r="I367" s="1">
        <v>366</v>
      </c>
      <c r="J367" s="1">
        <v>913</v>
      </c>
      <c r="K367" s="1">
        <v>49.3</v>
      </c>
      <c r="L367" s="1" t="s">
        <v>379</v>
      </c>
    </row>
    <row r="368" spans="1:12" x14ac:dyDescent="0.25">
      <c r="A368" t="s">
        <v>12</v>
      </c>
      <c r="B368" s="1">
        <v>2</v>
      </c>
      <c r="C368" s="1">
        <v>46</v>
      </c>
      <c r="D368" s="1">
        <v>5.5</v>
      </c>
      <c r="E368" s="1">
        <v>10.5</v>
      </c>
      <c r="F368" s="1" t="s">
        <v>13</v>
      </c>
      <c r="G368" s="2">
        <v>45482</v>
      </c>
      <c r="H368" s="2">
        <v>0.69837021990740744</v>
      </c>
      <c r="I368" s="1">
        <v>367</v>
      </c>
      <c r="J368" s="1">
        <v>891</v>
      </c>
      <c r="K368" s="1">
        <v>49.7</v>
      </c>
      <c r="L368" s="1" t="s">
        <v>380</v>
      </c>
    </row>
    <row r="369" spans="1:12" x14ac:dyDescent="0.25">
      <c r="A369" t="s">
        <v>12</v>
      </c>
      <c r="B369" s="1">
        <v>1</v>
      </c>
      <c r="C369" s="1">
        <v>46</v>
      </c>
      <c r="D369" s="1">
        <v>6.2</v>
      </c>
      <c r="E369" s="1">
        <v>16.399999999999999</v>
      </c>
      <c r="F369" s="1" t="s">
        <v>13</v>
      </c>
      <c r="G369" s="2">
        <v>45482</v>
      </c>
      <c r="H369" s="2">
        <v>0.69887291666666662</v>
      </c>
      <c r="I369" s="1">
        <v>368</v>
      </c>
      <c r="J369" s="1">
        <v>1233</v>
      </c>
      <c r="K369" s="1">
        <v>50</v>
      </c>
      <c r="L369" s="1" t="s">
        <v>381</v>
      </c>
    </row>
    <row r="370" spans="1:12" x14ac:dyDescent="0.25">
      <c r="A370" t="s">
        <v>12</v>
      </c>
      <c r="B370" s="1">
        <v>1</v>
      </c>
      <c r="C370" s="1">
        <v>47</v>
      </c>
      <c r="D370" s="1">
        <v>11.09</v>
      </c>
      <c r="E370" s="1">
        <v>11.7</v>
      </c>
      <c r="F370" s="1" t="s">
        <v>13</v>
      </c>
      <c r="G370" s="2">
        <v>45482</v>
      </c>
      <c r="H370" s="2">
        <v>0.69966218749999998</v>
      </c>
      <c r="I370" s="1">
        <v>369</v>
      </c>
      <c r="J370" s="1">
        <v>976</v>
      </c>
      <c r="K370" s="1">
        <v>50.4</v>
      </c>
      <c r="L370" s="1" t="s">
        <v>382</v>
      </c>
    </row>
    <row r="371" spans="1:12" x14ac:dyDescent="0.25">
      <c r="A371" t="s">
        <v>12</v>
      </c>
      <c r="B371" s="1">
        <v>2</v>
      </c>
      <c r="C371" s="1">
        <v>47</v>
      </c>
      <c r="D371" s="1">
        <v>11.84</v>
      </c>
      <c r="E371" s="1">
        <v>11.5</v>
      </c>
      <c r="F371" s="1" t="s">
        <v>13</v>
      </c>
      <c r="G371" s="2">
        <v>45482</v>
      </c>
      <c r="H371" s="2">
        <v>0.70040575231481472</v>
      </c>
      <c r="I371" s="1">
        <v>370</v>
      </c>
      <c r="J371" s="1">
        <v>964</v>
      </c>
      <c r="K371" s="1">
        <v>50.1</v>
      </c>
      <c r="L371" s="1" t="s">
        <v>383</v>
      </c>
    </row>
    <row r="372" spans="1:12" x14ac:dyDescent="0.25">
      <c r="A372" t="s">
        <v>12</v>
      </c>
      <c r="B372" s="1">
        <v>3</v>
      </c>
      <c r="C372" s="1">
        <v>47</v>
      </c>
      <c r="D372" s="1">
        <v>12.04</v>
      </c>
      <c r="E372" s="1">
        <v>11.8</v>
      </c>
      <c r="F372" s="1" t="s">
        <v>13</v>
      </c>
      <c r="G372" s="2">
        <v>45482</v>
      </c>
      <c r="H372" s="2">
        <v>0.70099216435185185</v>
      </c>
      <c r="I372" s="1">
        <v>371</v>
      </c>
      <c r="J372" s="1">
        <v>985</v>
      </c>
      <c r="K372" s="1">
        <v>50.1</v>
      </c>
      <c r="L372" s="1" t="s">
        <v>384</v>
      </c>
    </row>
    <row r="373" spans="1:12" x14ac:dyDescent="0.25">
      <c r="A373" t="s">
        <v>12</v>
      </c>
      <c r="B373" s="1">
        <v>4</v>
      </c>
      <c r="C373" s="1">
        <v>47</v>
      </c>
      <c r="D373" s="1">
        <v>12.72</v>
      </c>
      <c r="E373" s="1">
        <v>11.9</v>
      </c>
      <c r="F373" s="1" t="s">
        <v>13</v>
      </c>
      <c r="G373" s="2">
        <v>45482</v>
      </c>
      <c r="H373" s="2">
        <v>0.70163877314814815</v>
      </c>
      <c r="I373" s="1">
        <v>372</v>
      </c>
      <c r="J373" s="1">
        <v>984</v>
      </c>
      <c r="K373" s="1">
        <v>49.7</v>
      </c>
      <c r="L373" s="1" t="s">
        <v>385</v>
      </c>
    </row>
    <row r="374" spans="1:12" x14ac:dyDescent="0.25">
      <c r="A374" t="s">
        <v>12</v>
      </c>
      <c r="B374" s="1">
        <v>5</v>
      </c>
      <c r="C374" s="1">
        <v>47</v>
      </c>
      <c r="D374" s="1">
        <v>11.93</v>
      </c>
      <c r="E374" s="1">
        <v>10.9</v>
      </c>
      <c r="F374" s="1" t="s">
        <v>13</v>
      </c>
      <c r="G374" s="2">
        <v>45482</v>
      </c>
      <c r="H374" s="2">
        <v>0.70240092592592596</v>
      </c>
      <c r="I374" s="1">
        <v>373</v>
      </c>
      <c r="J374" s="1">
        <v>918</v>
      </c>
      <c r="K374" s="1">
        <v>49.6</v>
      </c>
      <c r="L374" s="1" t="s">
        <v>386</v>
      </c>
    </row>
    <row r="375" spans="1:12" x14ac:dyDescent="0.25">
      <c r="A375" t="s">
        <v>12</v>
      </c>
      <c r="B375" s="1">
        <v>6</v>
      </c>
      <c r="C375" s="1">
        <v>47</v>
      </c>
      <c r="D375" s="1">
        <v>12.04</v>
      </c>
      <c r="E375" s="1">
        <v>10.8</v>
      </c>
      <c r="F375" s="1" t="s">
        <v>13</v>
      </c>
      <c r="G375" s="2">
        <v>45482</v>
      </c>
      <c r="H375" s="2">
        <v>0.70319892361111114</v>
      </c>
      <c r="I375" s="1">
        <v>374</v>
      </c>
      <c r="J375" s="1">
        <v>913</v>
      </c>
      <c r="K375" s="1">
        <v>49.7</v>
      </c>
      <c r="L375" s="1" t="s">
        <v>387</v>
      </c>
    </row>
    <row r="376" spans="1:12" x14ac:dyDescent="0.25">
      <c r="A376" t="s">
        <v>12</v>
      </c>
      <c r="B376" s="1">
        <v>7</v>
      </c>
      <c r="C376" s="1">
        <v>47</v>
      </c>
      <c r="D376" s="1">
        <v>11.75</v>
      </c>
      <c r="E376" s="1">
        <v>11.5</v>
      </c>
      <c r="F376" s="1" t="s">
        <v>13</v>
      </c>
      <c r="G376" s="2">
        <v>45482</v>
      </c>
      <c r="H376" s="2">
        <v>0.70386940972222223</v>
      </c>
      <c r="I376" s="1">
        <v>375</v>
      </c>
      <c r="J376" s="1">
        <v>961</v>
      </c>
      <c r="K376" s="1">
        <v>49.9</v>
      </c>
      <c r="L376" s="1" t="s">
        <v>388</v>
      </c>
    </row>
    <row r="377" spans="1:12" x14ac:dyDescent="0.25">
      <c r="A377" t="s">
        <v>12</v>
      </c>
      <c r="B377" s="1">
        <v>8</v>
      </c>
      <c r="C377" s="1">
        <v>47</v>
      </c>
      <c r="D377" s="1">
        <v>11.46</v>
      </c>
      <c r="E377" s="1">
        <v>11.7</v>
      </c>
      <c r="F377" s="1" t="s">
        <v>13</v>
      </c>
      <c r="G377" s="2">
        <v>45482</v>
      </c>
      <c r="H377" s="2">
        <v>0.70465760416666667</v>
      </c>
      <c r="I377" s="1">
        <v>376</v>
      </c>
      <c r="J377" s="1">
        <v>968</v>
      </c>
      <c r="K377" s="1">
        <v>49.3</v>
      </c>
      <c r="L377" s="1" t="s">
        <v>389</v>
      </c>
    </row>
    <row r="378" spans="1:12" x14ac:dyDescent="0.25">
      <c r="A378" t="s">
        <v>12</v>
      </c>
      <c r="B378" s="1">
        <v>8</v>
      </c>
      <c r="C378" s="1">
        <v>48</v>
      </c>
      <c r="D378" s="1">
        <v>10.6</v>
      </c>
      <c r="E378" s="1">
        <v>11.2</v>
      </c>
      <c r="F378" s="1" t="s">
        <v>13</v>
      </c>
      <c r="G378" s="2">
        <v>45482</v>
      </c>
      <c r="H378" s="2">
        <v>0.70542179398148153</v>
      </c>
      <c r="I378" s="1">
        <v>377</v>
      </c>
      <c r="J378" s="1">
        <v>943</v>
      </c>
      <c r="K378" s="1">
        <v>50</v>
      </c>
      <c r="L378" s="1" t="s">
        <v>390</v>
      </c>
    </row>
    <row r="379" spans="1:12" x14ac:dyDescent="0.25">
      <c r="A379" t="s">
        <v>12</v>
      </c>
      <c r="B379" s="1">
        <v>7</v>
      </c>
      <c r="C379" s="1">
        <v>48</v>
      </c>
      <c r="D379" s="1">
        <v>10.78</v>
      </c>
      <c r="E379" s="1">
        <v>11.3</v>
      </c>
      <c r="F379" s="1" t="s">
        <v>13</v>
      </c>
      <c r="G379" s="2">
        <v>45482</v>
      </c>
      <c r="H379" s="2">
        <v>0.70598969907407405</v>
      </c>
      <c r="I379" s="1">
        <v>378</v>
      </c>
      <c r="J379" s="1">
        <v>946</v>
      </c>
      <c r="K379" s="1">
        <v>49.6</v>
      </c>
      <c r="L379" s="1" t="s">
        <v>391</v>
      </c>
    </row>
    <row r="380" spans="1:12" x14ac:dyDescent="0.25">
      <c r="A380" t="s">
        <v>12</v>
      </c>
      <c r="B380" s="1">
        <v>6</v>
      </c>
      <c r="C380" s="1">
        <v>48</v>
      </c>
      <c r="D380" s="1">
        <v>12.21</v>
      </c>
      <c r="E380" s="1">
        <v>11.9</v>
      </c>
      <c r="F380" s="1" t="s">
        <v>13</v>
      </c>
      <c r="G380" s="2">
        <v>45482</v>
      </c>
      <c r="H380" s="2">
        <v>0.7065266550925926</v>
      </c>
      <c r="I380" s="1">
        <v>379</v>
      </c>
      <c r="J380" s="1">
        <v>985</v>
      </c>
      <c r="K380" s="1">
        <v>49</v>
      </c>
      <c r="L380" s="1" t="s">
        <v>392</v>
      </c>
    </row>
    <row r="381" spans="1:12" x14ac:dyDescent="0.25">
      <c r="A381" t="s">
        <v>12</v>
      </c>
      <c r="B381" s="1">
        <v>5</v>
      </c>
      <c r="C381" s="1">
        <v>48</v>
      </c>
      <c r="D381" s="1">
        <v>12.77</v>
      </c>
      <c r="E381" s="1">
        <v>11.8</v>
      </c>
      <c r="F381" s="1" t="s">
        <v>13</v>
      </c>
      <c r="G381" s="2">
        <v>45482</v>
      </c>
      <c r="H381" s="2">
        <v>0.70712276620370362</v>
      </c>
      <c r="I381" s="1">
        <v>380</v>
      </c>
      <c r="J381" s="1">
        <v>975</v>
      </c>
      <c r="K381" s="1">
        <v>48.8</v>
      </c>
      <c r="L381" s="1" t="s">
        <v>393</v>
      </c>
    </row>
    <row r="382" spans="1:12" x14ac:dyDescent="0.25">
      <c r="A382" t="s">
        <v>12</v>
      </c>
      <c r="B382" s="1">
        <v>4</v>
      </c>
      <c r="C382" s="1">
        <v>48</v>
      </c>
      <c r="D382" s="1">
        <v>11.09</v>
      </c>
      <c r="E382" s="1">
        <v>11.4</v>
      </c>
      <c r="F382" s="1" t="s">
        <v>13</v>
      </c>
      <c r="G382" s="2">
        <v>45482</v>
      </c>
      <c r="H382" s="2">
        <v>0.7076510416666667</v>
      </c>
      <c r="I382" s="1">
        <v>381</v>
      </c>
      <c r="J382" s="1">
        <v>944</v>
      </c>
      <c r="K382" s="1">
        <v>48.5</v>
      </c>
      <c r="L382" s="1" t="s">
        <v>394</v>
      </c>
    </row>
    <row r="383" spans="1:12" x14ac:dyDescent="0.25">
      <c r="A383" t="s">
        <v>12</v>
      </c>
      <c r="B383" s="1">
        <v>3</v>
      </c>
      <c r="C383" s="1">
        <v>48</v>
      </c>
      <c r="D383" s="1">
        <v>10.93</v>
      </c>
      <c r="E383" s="1">
        <v>11.3</v>
      </c>
      <c r="F383" s="1" t="s">
        <v>13</v>
      </c>
      <c r="G383" s="2">
        <v>45482</v>
      </c>
      <c r="H383" s="2">
        <v>0.70824383101851851</v>
      </c>
      <c r="I383" s="1">
        <v>382</v>
      </c>
      <c r="J383" s="1">
        <v>940</v>
      </c>
      <c r="K383" s="1">
        <v>48.5</v>
      </c>
      <c r="L383" s="1" t="s">
        <v>395</v>
      </c>
    </row>
    <row r="384" spans="1:12" x14ac:dyDescent="0.25">
      <c r="A384" t="s">
        <v>12</v>
      </c>
      <c r="B384" s="1">
        <v>2</v>
      </c>
      <c r="C384" s="1">
        <v>48</v>
      </c>
      <c r="D384" s="1">
        <v>10.27</v>
      </c>
      <c r="E384" s="1">
        <v>11.3</v>
      </c>
      <c r="F384" s="1" t="s">
        <v>13</v>
      </c>
      <c r="G384" s="2">
        <v>45482</v>
      </c>
      <c r="H384" s="2">
        <v>0.70877476851851851</v>
      </c>
      <c r="I384" s="1">
        <v>383</v>
      </c>
      <c r="J384" s="1">
        <v>945</v>
      </c>
      <c r="K384" s="1">
        <v>48.8</v>
      </c>
      <c r="L384" s="1" t="s">
        <v>396</v>
      </c>
    </row>
    <row r="385" spans="1:12" x14ac:dyDescent="0.25">
      <c r="A385" t="s">
        <v>12</v>
      </c>
      <c r="B385" s="1">
        <v>1</v>
      </c>
      <c r="C385" s="1">
        <v>48</v>
      </c>
      <c r="D385" s="1">
        <v>9.67</v>
      </c>
      <c r="E385" s="1">
        <v>11.8</v>
      </c>
      <c r="F385" s="1" t="s">
        <v>13</v>
      </c>
      <c r="G385" s="2">
        <v>45482</v>
      </c>
      <c r="H385" s="2">
        <v>0.70926006944444442</v>
      </c>
      <c r="I385" s="1">
        <v>384</v>
      </c>
      <c r="J385" s="1">
        <v>975</v>
      </c>
      <c r="K385" s="1">
        <v>48.5</v>
      </c>
      <c r="L385" s="1" t="s">
        <v>397</v>
      </c>
    </row>
    <row r="386" spans="1:12" x14ac:dyDescent="0.25">
      <c r="A386" t="s">
        <v>12</v>
      </c>
      <c r="B386" s="1">
        <v>1</v>
      </c>
      <c r="C386" s="1">
        <v>49</v>
      </c>
      <c r="D386" s="1">
        <v>10.71</v>
      </c>
      <c r="E386" s="1">
        <v>12.4</v>
      </c>
      <c r="F386" s="1" t="s">
        <v>13</v>
      </c>
      <c r="G386" s="2">
        <v>45483</v>
      </c>
      <c r="H386" s="2">
        <v>0.42805763888888892</v>
      </c>
      <c r="I386" s="1">
        <v>385</v>
      </c>
      <c r="J386" s="1">
        <v>962</v>
      </c>
      <c r="K386" s="1">
        <v>40</v>
      </c>
      <c r="L386" s="1" t="s">
        <v>398</v>
      </c>
    </row>
    <row r="387" spans="1:12" x14ac:dyDescent="0.25">
      <c r="A387" t="s">
        <v>12</v>
      </c>
      <c r="B387" s="1">
        <v>2</v>
      </c>
      <c r="C387" s="1">
        <v>49</v>
      </c>
      <c r="D387" s="1">
        <v>12.07</v>
      </c>
      <c r="E387" s="1">
        <v>12.2</v>
      </c>
      <c r="F387" s="1" t="s">
        <v>13</v>
      </c>
      <c r="G387" s="2">
        <v>45483</v>
      </c>
      <c r="H387" s="2">
        <v>0.42871292824074075</v>
      </c>
      <c r="I387" s="1">
        <v>386</v>
      </c>
      <c r="J387" s="1">
        <v>951</v>
      </c>
      <c r="K387" s="1">
        <v>40.1</v>
      </c>
      <c r="L387" s="1" t="s">
        <v>399</v>
      </c>
    </row>
    <row r="388" spans="1:12" x14ac:dyDescent="0.25">
      <c r="A388" t="s">
        <v>12</v>
      </c>
      <c r="B388" s="1">
        <v>3</v>
      </c>
      <c r="C388" s="1">
        <v>49</v>
      </c>
      <c r="D388" s="1">
        <v>12.3</v>
      </c>
      <c r="E388" s="1">
        <v>12.4</v>
      </c>
      <c r="F388" s="1" t="s">
        <v>13</v>
      </c>
      <c r="G388" s="2">
        <v>45483</v>
      </c>
      <c r="H388" s="2">
        <v>0.42927500000000002</v>
      </c>
      <c r="I388" s="1">
        <v>387</v>
      </c>
      <c r="J388" s="1">
        <v>961</v>
      </c>
      <c r="K388" s="1">
        <v>40.4</v>
      </c>
      <c r="L388" s="1" t="s">
        <v>400</v>
      </c>
    </row>
    <row r="389" spans="1:12" x14ac:dyDescent="0.25">
      <c r="A389" t="s">
        <v>12</v>
      </c>
      <c r="B389" s="1">
        <v>4</v>
      </c>
      <c r="C389" s="1">
        <v>49</v>
      </c>
      <c r="D389" s="1">
        <v>12.7</v>
      </c>
      <c r="E389" s="1">
        <v>11.2</v>
      </c>
      <c r="F389" s="1" t="s">
        <v>13</v>
      </c>
      <c r="G389" s="2">
        <v>45483</v>
      </c>
      <c r="H389" s="2">
        <v>0.42991365740740739</v>
      </c>
      <c r="I389" s="1">
        <v>388</v>
      </c>
      <c r="J389" s="1">
        <v>886</v>
      </c>
      <c r="K389" s="1">
        <v>40.6</v>
      </c>
      <c r="L389" s="1" t="s">
        <v>401</v>
      </c>
    </row>
    <row r="390" spans="1:12" x14ac:dyDescent="0.25">
      <c r="A390" t="s">
        <v>12</v>
      </c>
      <c r="B390" s="1">
        <v>5</v>
      </c>
      <c r="C390" s="1">
        <v>49</v>
      </c>
      <c r="D390" s="1">
        <v>13.59</v>
      </c>
      <c r="E390" s="1">
        <v>12.9</v>
      </c>
      <c r="F390" s="1" t="s">
        <v>13</v>
      </c>
      <c r="G390" s="2">
        <v>45483</v>
      </c>
      <c r="H390" s="2">
        <v>0.4304997337962963</v>
      </c>
      <c r="I390" s="1">
        <v>389</v>
      </c>
      <c r="J390" s="1">
        <v>1001</v>
      </c>
      <c r="K390" s="1">
        <v>41</v>
      </c>
      <c r="L390" s="1" t="s">
        <v>402</v>
      </c>
    </row>
    <row r="391" spans="1:12" x14ac:dyDescent="0.25">
      <c r="A391" t="s">
        <v>12</v>
      </c>
      <c r="B391" s="1">
        <v>6</v>
      </c>
      <c r="C391" s="1">
        <v>49</v>
      </c>
      <c r="D391" s="1">
        <v>13.24</v>
      </c>
      <c r="E391" s="1">
        <v>12.4</v>
      </c>
      <c r="F391" s="1" t="s">
        <v>13</v>
      </c>
      <c r="G391" s="2">
        <v>45483</v>
      </c>
      <c r="H391" s="2">
        <v>0.43131686342592596</v>
      </c>
      <c r="I391" s="1">
        <v>390</v>
      </c>
      <c r="J391" s="1">
        <v>966</v>
      </c>
      <c r="K391" s="1">
        <v>41.3</v>
      </c>
      <c r="L391" s="1" t="s">
        <v>403</v>
      </c>
    </row>
    <row r="392" spans="1:12" x14ac:dyDescent="0.25">
      <c r="A392" t="s">
        <v>12</v>
      </c>
      <c r="B392" s="1">
        <v>7</v>
      </c>
      <c r="C392" s="1">
        <v>49</v>
      </c>
      <c r="D392" s="1">
        <v>12.6</v>
      </c>
      <c r="E392" s="1">
        <v>13.1</v>
      </c>
      <c r="F392" s="1" t="s">
        <v>13</v>
      </c>
      <c r="G392" s="2">
        <v>45483</v>
      </c>
      <c r="H392" s="2">
        <v>0.43192658564814812</v>
      </c>
      <c r="I392" s="1">
        <v>391</v>
      </c>
      <c r="J392" s="1">
        <v>1018</v>
      </c>
      <c r="K392" s="1">
        <v>41.9</v>
      </c>
      <c r="L392" s="1" t="s">
        <v>404</v>
      </c>
    </row>
    <row r="393" spans="1:12" x14ac:dyDescent="0.25">
      <c r="A393" t="s">
        <v>12</v>
      </c>
      <c r="B393" s="1">
        <v>8</v>
      </c>
      <c r="C393" s="1">
        <v>49</v>
      </c>
      <c r="D393" s="1">
        <v>12.81</v>
      </c>
      <c r="E393" s="1">
        <v>13.1</v>
      </c>
      <c r="F393" s="1" t="s">
        <v>13</v>
      </c>
      <c r="G393" s="2">
        <v>45483</v>
      </c>
      <c r="H393" s="2">
        <v>0.43251253472222223</v>
      </c>
      <c r="I393" s="1">
        <v>392</v>
      </c>
      <c r="J393" s="1">
        <v>1014</v>
      </c>
      <c r="K393" s="1">
        <v>42.1</v>
      </c>
      <c r="L393" s="1" t="s">
        <v>405</v>
      </c>
    </row>
    <row r="394" spans="1:12" x14ac:dyDescent="0.25">
      <c r="A394" t="s">
        <v>12</v>
      </c>
      <c r="B394" s="1">
        <v>8</v>
      </c>
      <c r="C394" s="1">
        <v>50</v>
      </c>
      <c r="D394" s="1">
        <v>13.22</v>
      </c>
      <c r="E394" s="1">
        <v>13.3</v>
      </c>
      <c r="F394" s="1" t="s">
        <v>13</v>
      </c>
      <c r="G394" s="2">
        <v>45483</v>
      </c>
      <c r="H394" s="2">
        <v>0.43348333333333333</v>
      </c>
      <c r="I394" s="1">
        <v>393</v>
      </c>
      <c r="J394" s="1">
        <v>1031</v>
      </c>
      <c r="K394" s="1">
        <v>42.8</v>
      </c>
      <c r="L394" s="1" t="s">
        <v>406</v>
      </c>
    </row>
    <row r="395" spans="1:12" x14ac:dyDescent="0.25">
      <c r="A395" t="s">
        <v>12</v>
      </c>
      <c r="B395" s="1">
        <v>7</v>
      </c>
      <c r="C395" s="1">
        <v>50</v>
      </c>
      <c r="D395" s="1">
        <v>13.29</v>
      </c>
      <c r="E395" s="1">
        <v>13.4</v>
      </c>
      <c r="F395" s="1" t="s">
        <v>13</v>
      </c>
      <c r="G395" s="2">
        <v>45483</v>
      </c>
      <c r="H395" s="2">
        <v>0.434202662037037</v>
      </c>
      <c r="I395" s="1">
        <v>394</v>
      </c>
      <c r="J395" s="1">
        <v>1039</v>
      </c>
      <c r="K395" s="1">
        <v>43.1</v>
      </c>
      <c r="L395" s="1" t="s">
        <v>407</v>
      </c>
    </row>
    <row r="396" spans="1:12" x14ac:dyDescent="0.25">
      <c r="A396" t="s">
        <v>12</v>
      </c>
      <c r="B396" s="1">
        <v>6</v>
      </c>
      <c r="C396" s="1">
        <v>50</v>
      </c>
      <c r="D396" s="1">
        <v>11.1</v>
      </c>
      <c r="E396" s="1">
        <v>12.3</v>
      </c>
      <c r="F396" s="1" t="s">
        <v>13</v>
      </c>
      <c r="G396" s="2">
        <v>45483</v>
      </c>
      <c r="H396" s="2">
        <v>0.43479151620370371</v>
      </c>
      <c r="I396" s="1">
        <v>395</v>
      </c>
      <c r="J396" s="1">
        <v>972</v>
      </c>
      <c r="K396" s="1">
        <v>43.1</v>
      </c>
      <c r="L396" s="1" t="s">
        <v>408</v>
      </c>
    </row>
    <row r="397" spans="1:12" x14ac:dyDescent="0.25">
      <c r="A397" t="s">
        <v>12</v>
      </c>
      <c r="B397" s="1">
        <v>5</v>
      </c>
      <c r="C397" s="1">
        <v>50</v>
      </c>
      <c r="D397" s="1">
        <v>11.31</v>
      </c>
      <c r="E397" s="1">
        <v>12.3</v>
      </c>
      <c r="F397" s="1" t="s">
        <v>13</v>
      </c>
      <c r="G397" s="2">
        <v>45483</v>
      </c>
      <c r="H397" s="2">
        <v>0.43542947916666669</v>
      </c>
      <c r="I397" s="1">
        <v>396</v>
      </c>
      <c r="J397" s="1">
        <v>972</v>
      </c>
      <c r="K397" s="1">
        <v>43.3</v>
      </c>
      <c r="L397" s="1" t="s">
        <v>409</v>
      </c>
    </row>
    <row r="398" spans="1:12" x14ac:dyDescent="0.25">
      <c r="A398" t="s">
        <v>12</v>
      </c>
      <c r="B398" s="1">
        <v>4</v>
      </c>
      <c r="C398" s="1">
        <v>50</v>
      </c>
      <c r="D398" s="1">
        <v>11.47</v>
      </c>
      <c r="E398" s="1">
        <v>12.9</v>
      </c>
      <c r="F398" s="1" t="s">
        <v>13</v>
      </c>
      <c r="G398" s="2">
        <v>45483</v>
      </c>
      <c r="H398" s="2">
        <v>0.43600185185185186</v>
      </c>
      <c r="I398" s="1">
        <v>397</v>
      </c>
      <c r="J398" s="1">
        <v>1011</v>
      </c>
      <c r="K398" s="1">
        <v>43.3</v>
      </c>
      <c r="L398" s="1" t="s">
        <v>410</v>
      </c>
    </row>
    <row r="399" spans="1:12" x14ac:dyDescent="0.25">
      <c r="A399" t="s">
        <v>12</v>
      </c>
      <c r="B399" s="1">
        <v>3</v>
      </c>
      <c r="C399" s="1">
        <v>50</v>
      </c>
      <c r="D399" s="1">
        <v>11.14</v>
      </c>
      <c r="E399" s="1">
        <v>12.7</v>
      </c>
      <c r="F399" s="1" t="s">
        <v>13</v>
      </c>
      <c r="G399" s="2">
        <v>45483</v>
      </c>
      <c r="H399" s="2">
        <v>0.43664864583333335</v>
      </c>
      <c r="I399" s="1">
        <v>398</v>
      </c>
      <c r="J399" s="1">
        <v>1001</v>
      </c>
      <c r="K399" s="1">
        <v>43.7</v>
      </c>
      <c r="L399" s="1" t="s">
        <v>411</v>
      </c>
    </row>
    <row r="400" spans="1:12" x14ac:dyDescent="0.25">
      <c r="A400" t="s">
        <v>12</v>
      </c>
      <c r="B400" s="1">
        <v>2</v>
      </c>
      <c r="C400" s="1">
        <v>50</v>
      </c>
      <c r="D400" s="1">
        <v>11.12</v>
      </c>
      <c r="E400" s="1">
        <v>12.8</v>
      </c>
      <c r="F400" s="1" t="s">
        <v>13</v>
      </c>
      <c r="G400" s="2">
        <v>45483</v>
      </c>
      <c r="H400" s="2">
        <v>0.43726331018518522</v>
      </c>
      <c r="I400" s="1">
        <v>399</v>
      </c>
      <c r="J400" s="1">
        <v>1008</v>
      </c>
      <c r="K400" s="1">
        <v>44.2</v>
      </c>
      <c r="L400" s="1" t="s">
        <v>412</v>
      </c>
    </row>
    <row r="401" spans="1:12" x14ac:dyDescent="0.25">
      <c r="A401" t="s">
        <v>12</v>
      </c>
      <c r="B401" s="1">
        <v>1</v>
      </c>
      <c r="C401" s="1">
        <v>50</v>
      </c>
      <c r="D401" s="1">
        <v>9.94</v>
      </c>
      <c r="E401" s="1">
        <v>12.7</v>
      </c>
      <c r="F401" s="1" t="s">
        <v>13</v>
      </c>
      <c r="G401" s="2">
        <v>45483</v>
      </c>
      <c r="H401" s="2">
        <v>0.43782503472222223</v>
      </c>
      <c r="I401" s="1">
        <v>400</v>
      </c>
      <c r="J401" s="1">
        <v>1005</v>
      </c>
      <c r="K401" s="1">
        <v>44.2</v>
      </c>
      <c r="L401" s="1" t="s">
        <v>413</v>
      </c>
    </row>
    <row r="402" spans="1:12" x14ac:dyDescent="0.25">
      <c r="A402" t="s">
        <v>12</v>
      </c>
      <c r="B402" s="1">
        <v>1</v>
      </c>
      <c r="C402" s="1">
        <v>51</v>
      </c>
      <c r="D402" s="1">
        <v>10.34</v>
      </c>
      <c r="E402" s="1">
        <v>12.6</v>
      </c>
      <c r="F402" s="1" t="s">
        <v>13</v>
      </c>
      <c r="G402" s="2">
        <v>45483</v>
      </c>
      <c r="H402" s="2">
        <v>0.43879973379629628</v>
      </c>
      <c r="I402" s="1">
        <v>401</v>
      </c>
      <c r="J402" s="1">
        <v>1004</v>
      </c>
      <c r="K402" s="1">
        <v>45.6</v>
      </c>
      <c r="L402" s="1" t="s">
        <v>414</v>
      </c>
    </row>
    <row r="403" spans="1:12" x14ac:dyDescent="0.25">
      <c r="A403" t="s">
        <v>12</v>
      </c>
      <c r="B403" s="1">
        <v>2</v>
      </c>
      <c r="C403" s="1">
        <v>51</v>
      </c>
      <c r="D403" s="1">
        <v>11.38</v>
      </c>
      <c r="E403" s="1">
        <v>12.3</v>
      </c>
      <c r="F403" s="1" t="s">
        <v>13</v>
      </c>
      <c r="G403" s="2">
        <v>45483</v>
      </c>
      <c r="H403" s="2">
        <v>0.43931015046296296</v>
      </c>
      <c r="I403" s="1">
        <v>402</v>
      </c>
      <c r="J403" s="1">
        <v>986</v>
      </c>
      <c r="K403" s="1">
        <v>45.5</v>
      </c>
      <c r="L403" s="1" t="s">
        <v>415</v>
      </c>
    </row>
    <row r="404" spans="1:12" x14ac:dyDescent="0.25">
      <c r="A404" t="s">
        <v>12</v>
      </c>
      <c r="B404" s="1">
        <v>3</v>
      </c>
      <c r="C404" s="1">
        <v>51</v>
      </c>
      <c r="D404" s="1">
        <v>10.81</v>
      </c>
      <c r="E404" s="1">
        <v>12.3</v>
      </c>
      <c r="F404" s="1" t="s">
        <v>13</v>
      </c>
      <c r="G404" s="2">
        <v>45483</v>
      </c>
      <c r="H404" s="2">
        <v>0.43988359953703704</v>
      </c>
      <c r="I404" s="1">
        <v>403</v>
      </c>
      <c r="J404" s="1">
        <v>988</v>
      </c>
      <c r="K404" s="1">
        <v>45.5</v>
      </c>
      <c r="L404" s="1" t="s">
        <v>416</v>
      </c>
    </row>
    <row r="405" spans="1:12" x14ac:dyDescent="0.25">
      <c r="A405" t="s">
        <v>12</v>
      </c>
      <c r="B405" s="1">
        <v>4</v>
      </c>
      <c r="C405" s="1">
        <v>51</v>
      </c>
      <c r="D405" s="1">
        <v>11.48</v>
      </c>
      <c r="E405" s="1">
        <v>12.1</v>
      </c>
      <c r="F405" s="1" t="s">
        <v>13</v>
      </c>
      <c r="G405" s="2">
        <v>45483</v>
      </c>
      <c r="H405" s="2">
        <v>0.44043325231481478</v>
      </c>
      <c r="I405" s="1">
        <v>404</v>
      </c>
      <c r="J405" s="1">
        <v>972</v>
      </c>
      <c r="K405" s="1">
        <v>45.4</v>
      </c>
      <c r="L405" s="1" t="s">
        <v>417</v>
      </c>
    </row>
    <row r="406" spans="1:12" x14ac:dyDescent="0.25">
      <c r="A406" t="s">
        <v>12</v>
      </c>
      <c r="B406" s="1">
        <v>5</v>
      </c>
      <c r="C406" s="1">
        <v>51</v>
      </c>
      <c r="D406" s="1">
        <v>10.84</v>
      </c>
      <c r="E406" s="1">
        <v>12.1</v>
      </c>
      <c r="F406" s="1" t="s">
        <v>13</v>
      </c>
      <c r="G406" s="2">
        <v>45483</v>
      </c>
      <c r="H406" s="2">
        <v>0.44117751157407409</v>
      </c>
      <c r="I406" s="1">
        <v>405</v>
      </c>
      <c r="J406" s="1">
        <v>975</v>
      </c>
      <c r="K406" s="1">
        <v>45.5</v>
      </c>
      <c r="L406" s="1" t="s">
        <v>418</v>
      </c>
    </row>
    <row r="407" spans="1:12" x14ac:dyDescent="0.25">
      <c r="A407" t="s">
        <v>12</v>
      </c>
      <c r="B407" s="1">
        <v>6</v>
      </c>
      <c r="C407" s="1">
        <v>51</v>
      </c>
      <c r="D407" s="1">
        <v>10.44</v>
      </c>
      <c r="E407" s="1">
        <v>12</v>
      </c>
      <c r="F407" s="1" t="s">
        <v>13</v>
      </c>
      <c r="G407" s="2">
        <v>45483</v>
      </c>
      <c r="H407" s="2">
        <v>0.44210651620370367</v>
      </c>
      <c r="I407" s="1">
        <v>406</v>
      </c>
      <c r="J407" s="1">
        <v>970</v>
      </c>
      <c r="K407" s="1">
        <v>46.1</v>
      </c>
      <c r="L407" s="1" t="s">
        <v>419</v>
      </c>
    </row>
    <row r="408" spans="1:12" x14ac:dyDescent="0.25">
      <c r="A408" t="s">
        <v>12</v>
      </c>
      <c r="B408" s="1">
        <v>7</v>
      </c>
      <c r="C408" s="1">
        <v>51</v>
      </c>
      <c r="D408" s="1">
        <v>11.57</v>
      </c>
      <c r="E408" s="1">
        <v>11.6</v>
      </c>
      <c r="F408" s="1" t="s">
        <v>13</v>
      </c>
      <c r="G408" s="2">
        <v>45483</v>
      </c>
      <c r="H408" s="2">
        <v>0.44295046296296298</v>
      </c>
      <c r="I408" s="1">
        <v>407</v>
      </c>
      <c r="J408" s="1">
        <v>949</v>
      </c>
      <c r="K408" s="1">
        <v>46.3</v>
      </c>
      <c r="L408" s="1" t="s">
        <v>420</v>
      </c>
    </row>
    <row r="409" spans="1:12" x14ac:dyDescent="0.25">
      <c r="A409" t="s">
        <v>12</v>
      </c>
      <c r="B409" s="1">
        <v>8</v>
      </c>
      <c r="C409" s="1">
        <v>51</v>
      </c>
      <c r="D409" s="1">
        <v>10.6</v>
      </c>
      <c r="E409" s="1">
        <v>11.8</v>
      </c>
      <c r="F409" s="1" t="s">
        <v>13</v>
      </c>
      <c r="G409" s="2">
        <v>45483</v>
      </c>
      <c r="H409" s="2">
        <v>0.44350482638888888</v>
      </c>
      <c r="I409" s="1">
        <v>408</v>
      </c>
      <c r="J409" s="1">
        <v>959</v>
      </c>
      <c r="K409" s="1">
        <v>46.2</v>
      </c>
      <c r="L409" s="1" t="s">
        <v>421</v>
      </c>
    </row>
    <row r="410" spans="1:12" x14ac:dyDescent="0.25">
      <c r="A410" t="s">
        <v>12</v>
      </c>
      <c r="B410" s="1">
        <v>8</v>
      </c>
      <c r="C410" s="1">
        <v>52</v>
      </c>
      <c r="D410" s="1">
        <v>10.220000000000001</v>
      </c>
      <c r="E410" s="1">
        <v>12.2</v>
      </c>
      <c r="F410" s="1" t="s">
        <v>13</v>
      </c>
      <c r="G410" s="2">
        <v>45483</v>
      </c>
      <c r="H410" s="2">
        <v>0.44437091435185183</v>
      </c>
      <c r="I410" s="1">
        <v>409</v>
      </c>
      <c r="J410" s="1">
        <v>989</v>
      </c>
      <c r="K410" s="1">
        <v>46.7</v>
      </c>
      <c r="L410" s="1" t="s">
        <v>422</v>
      </c>
    </row>
    <row r="411" spans="1:12" x14ac:dyDescent="0.25">
      <c r="A411" t="s">
        <v>12</v>
      </c>
      <c r="B411" s="1">
        <v>7</v>
      </c>
      <c r="C411" s="1">
        <v>52</v>
      </c>
      <c r="D411" s="1">
        <v>11.62</v>
      </c>
      <c r="E411" s="1">
        <v>12.1</v>
      </c>
      <c r="F411" s="1" t="s">
        <v>13</v>
      </c>
      <c r="G411" s="2">
        <v>45483</v>
      </c>
      <c r="H411" s="2">
        <v>0.44506099537037036</v>
      </c>
      <c r="I411" s="1">
        <v>410</v>
      </c>
      <c r="J411" s="1">
        <v>978</v>
      </c>
      <c r="K411" s="1">
        <v>46.3</v>
      </c>
      <c r="L411" s="1" t="s">
        <v>423</v>
      </c>
    </row>
    <row r="412" spans="1:12" x14ac:dyDescent="0.25">
      <c r="A412" t="s">
        <v>12</v>
      </c>
      <c r="B412" s="1">
        <v>6</v>
      </c>
      <c r="C412" s="1">
        <v>52</v>
      </c>
      <c r="D412" s="1">
        <v>6.2</v>
      </c>
      <c r="E412" s="1">
        <v>13.5</v>
      </c>
      <c r="F412" s="1" t="s">
        <v>13</v>
      </c>
      <c r="G412" s="2">
        <v>45483</v>
      </c>
      <c r="H412" s="2">
        <v>0.4458699884259259</v>
      </c>
      <c r="I412" s="1">
        <v>411</v>
      </c>
      <c r="J412" s="1">
        <v>1066</v>
      </c>
      <c r="K412" s="1">
        <v>47</v>
      </c>
      <c r="L412" s="1" t="s">
        <v>424</v>
      </c>
    </row>
    <row r="413" spans="1:12" x14ac:dyDescent="0.25">
      <c r="A413" t="s">
        <v>12</v>
      </c>
      <c r="B413" s="1">
        <v>5</v>
      </c>
      <c r="C413" s="1">
        <v>52</v>
      </c>
      <c r="D413" s="1">
        <v>5.81</v>
      </c>
      <c r="E413" s="1">
        <v>12</v>
      </c>
      <c r="F413" s="1" t="s">
        <v>13</v>
      </c>
      <c r="G413" s="2">
        <v>45483</v>
      </c>
      <c r="H413" s="2">
        <v>0.44656721064814814</v>
      </c>
      <c r="I413" s="1">
        <v>412</v>
      </c>
      <c r="J413" s="1">
        <v>977</v>
      </c>
      <c r="K413" s="1">
        <v>47.3</v>
      </c>
      <c r="L413" s="1" t="s">
        <v>425</v>
      </c>
    </row>
    <row r="414" spans="1:12" x14ac:dyDescent="0.25">
      <c r="A414" t="s">
        <v>12</v>
      </c>
      <c r="B414" s="1">
        <v>4</v>
      </c>
      <c r="C414" s="1">
        <v>52</v>
      </c>
      <c r="D414" s="1">
        <v>11.95</v>
      </c>
      <c r="E414" s="1">
        <v>12.1</v>
      </c>
      <c r="F414" s="1" t="s">
        <v>13</v>
      </c>
      <c r="G414" s="2">
        <v>45483</v>
      </c>
      <c r="H414" s="2">
        <v>0.4470648148148148</v>
      </c>
      <c r="I414" s="1">
        <v>413</v>
      </c>
      <c r="J414" s="1">
        <v>979</v>
      </c>
      <c r="K414" s="1">
        <v>46.7</v>
      </c>
      <c r="L414" s="1" t="s">
        <v>426</v>
      </c>
    </row>
    <row r="415" spans="1:12" x14ac:dyDescent="0.25">
      <c r="A415" t="s">
        <v>12</v>
      </c>
      <c r="B415" s="1">
        <v>3</v>
      </c>
      <c r="C415" s="1">
        <v>52</v>
      </c>
      <c r="D415" s="1">
        <v>11.83</v>
      </c>
      <c r="E415" s="1">
        <v>12.2</v>
      </c>
      <c r="F415" s="1" t="s">
        <v>13</v>
      </c>
      <c r="G415" s="2">
        <v>45483</v>
      </c>
      <c r="H415" s="2">
        <v>0.44767572916666665</v>
      </c>
      <c r="I415" s="1">
        <v>414</v>
      </c>
      <c r="J415" s="1">
        <v>989</v>
      </c>
      <c r="K415" s="1">
        <v>46.5</v>
      </c>
      <c r="L415" s="1" t="s">
        <v>427</v>
      </c>
    </row>
    <row r="416" spans="1:12" x14ac:dyDescent="0.25">
      <c r="A416" t="s">
        <v>12</v>
      </c>
      <c r="B416" s="1">
        <v>2</v>
      </c>
      <c r="C416" s="1">
        <v>52</v>
      </c>
      <c r="D416" s="1">
        <v>11.97</v>
      </c>
      <c r="E416" s="1">
        <v>12.5</v>
      </c>
      <c r="F416" s="1" t="s">
        <v>13</v>
      </c>
      <c r="G416" s="2">
        <v>45483</v>
      </c>
      <c r="H416" s="2">
        <v>0.44828815972222225</v>
      </c>
      <c r="I416" s="1">
        <v>415</v>
      </c>
      <c r="J416" s="1">
        <v>1008</v>
      </c>
      <c r="K416" s="1">
        <v>46.9</v>
      </c>
      <c r="L416" s="1" t="s">
        <v>428</v>
      </c>
    </row>
    <row r="417" spans="1:12" x14ac:dyDescent="0.25">
      <c r="A417" t="s">
        <v>12</v>
      </c>
      <c r="B417" s="1">
        <v>1</v>
      </c>
      <c r="C417" s="1">
        <v>52</v>
      </c>
      <c r="D417" s="1">
        <v>11.59</v>
      </c>
      <c r="E417" s="1">
        <v>12.4</v>
      </c>
      <c r="F417" s="1" t="s">
        <v>13</v>
      </c>
      <c r="G417" s="2">
        <v>45483</v>
      </c>
      <c r="H417" s="2">
        <v>0.44893359953703704</v>
      </c>
      <c r="I417" s="1">
        <v>416</v>
      </c>
      <c r="J417" s="1">
        <v>1000</v>
      </c>
      <c r="K417" s="1">
        <v>46.5</v>
      </c>
      <c r="L417" s="1" t="s">
        <v>429</v>
      </c>
    </row>
    <row r="418" spans="1:12" x14ac:dyDescent="0.25">
      <c r="A418" t="s">
        <v>12</v>
      </c>
      <c r="B418" s="1">
        <v>1</v>
      </c>
      <c r="C418" s="1">
        <v>53</v>
      </c>
      <c r="D418" s="1">
        <v>10.23</v>
      </c>
      <c r="E418" s="1">
        <v>12.4</v>
      </c>
      <c r="F418" s="1" t="s">
        <v>13</v>
      </c>
      <c r="G418" s="2">
        <v>45483</v>
      </c>
      <c r="H418" s="2">
        <v>0.45247939814814814</v>
      </c>
      <c r="I418" s="1">
        <v>417</v>
      </c>
      <c r="J418" s="1">
        <v>1013</v>
      </c>
      <c r="K418" s="1">
        <v>49.2</v>
      </c>
      <c r="L418" s="1" t="s">
        <v>430</v>
      </c>
    </row>
    <row r="419" spans="1:12" x14ac:dyDescent="0.25">
      <c r="A419" t="s">
        <v>12</v>
      </c>
      <c r="B419" s="1">
        <v>2</v>
      </c>
      <c r="C419" s="1">
        <v>53</v>
      </c>
      <c r="D419" s="1">
        <v>11.3</v>
      </c>
      <c r="E419" s="1">
        <v>12.5</v>
      </c>
      <c r="F419" s="1" t="s">
        <v>13</v>
      </c>
      <c r="G419" s="2">
        <v>45483</v>
      </c>
      <c r="H419" s="2">
        <v>0.45307346064814819</v>
      </c>
      <c r="I419" s="1">
        <v>418</v>
      </c>
      <c r="J419" s="1">
        <v>1017</v>
      </c>
      <c r="K419" s="1">
        <v>48.5</v>
      </c>
      <c r="L419" s="1" t="s">
        <v>431</v>
      </c>
    </row>
    <row r="420" spans="1:12" x14ac:dyDescent="0.25">
      <c r="A420" t="s">
        <v>12</v>
      </c>
      <c r="B420" s="1">
        <v>3</v>
      </c>
      <c r="C420" s="1">
        <v>53</v>
      </c>
      <c r="D420" s="1">
        <v>10.98</v>
      </c>
      <c r="E420" s="1">
        <v>12.5</v>
      </c>
      <c r="F420" s="1" t="s">
        <v>13</v>
      </c>
      <c r="G420" s="2">
        <v>45483</v>
      </c>
      <c r="H420" s="2">
        <v>0.45358521990740741</v>
      </c>
      <c r="I420" s="1">
        <v>419</v>
      </c>
      <c r="J420" s="1">
        <v>1018</v>
      </c>
      <c r="K420" s="1">
        <v>48.6</v>
      </c>
      <c r="L420" s="1" t="s">
        <v>432</v>
      </c>
    </row>
    <row r="421" spans="1:12" x14ac:dyDescent="0.25">
      <c r="A421" t="s">
        <v>12</v>
      </c>
      <c r="B421" s="1">
        <v>4</v>
      </c>
      <c r="C421" s="1">
        <v>53</v>
      </c>
      <c r="D421" s="1">
        <v>11.85</v>
      </c>
      <c r="E421" s="1">
        <v>12.4</v>
      </c>
      <c r="F421" s="1" t="s">
        <v>13</v>
      </c>
      <c r="G421" s="2">
        <v>45483</v>
      </c>
      <c r="H421" s="2">
        <v>0.45422094907407412</v>
      </c>
      <c r="I421" s="1">
        <v>420</v>
      </c>
      <c r="J421" s="1">
        <v>1008</v>
      </c>
      <c r="K421" s="1">
        <v>48.1</v>
      </c>
      <c r="L421" s="1" t="s">
        <v>433</v>
      </c>
    </row>
    <row r="422" spans="1:12" x14ac:dyDescent="0.25">
      <c r="A422" t="s">
        <v>12</v>
      </c>
      <c r="B422" s="1">
        <v>5</v>
      </c>
      <c r="C422" s="1">
        <v>53</v>
      </c>
      <c r="D422" s="1">
        <v>11.98</v>
      </c>
      <c r="E422" s="1">
        <v>11.9</v>
      </c>
      <c r="F422" s="1" t="s">
        <v>13</v>
      </c>
      <c r="G422" s="2">
        <v>45483</v>
      </c>
      <c r="H422" s="2">
        <v>0.45473417824074075</v>
      </c>
      <c r="I422" s="1">
        <v>421</v>
      </c>
      <c r="J422" s="1">
        <v>977</v>
      </c>
      <c r="K422" s="1">
        <v>48</v>
      </c>
      <c r="L422" s="1" t="s">
        <v>434</v>
      </c>
    </row>
    <row r="423" spans="1:12" x14ac:dyDescent="0.25">
      <c r="A423" t="s">
        <v>12</v>
      </c>
      <c r="B423" s="1">
        <v>6</v>
      </c>
      <c r="C423" s="1">
        <v>53</v>
      </c>
      <c r="D423" s="1">
        <v>11.87</v>
      </c>
      <c r="E423" s="1">
        <v>12</v>
      </c>
      <c r="F423" s="1" t="s">
        <v>13</v>
      </c>
      <c r="G423" s="2">
        <v>45483</v>
      </c>
      <c r="H423" s="2">
        <v>0.45535077546296299</v>
      </c>
      <c r="I423" s="1">
        <v>422</v>
      </c>
      <c r="J423" s="1">
        <v>978</v>
      </c>
      <c r="K423" s="1">
        <v>47.5</v>
      </c>
      <c r="L423" s="1" t="s">
        <v>435</v>
      </c>
    </row>
    <row r="424" spans="1:12" x14ac:dyDescent="0.25">
      <c r="A424" t="s">
        <v>12</v>
      </c>
      <c r="B424" s="1">
        <v>7</v>
      </c>
      <c r="C424" s="1">
        <v>53</v>
      </c>
      <c r="D424" s="1">
        <v>10.69</v>
      </c>
      <c r="E424" s="1">
        <v>12.8</v>
      </c>
      <c r="F424" s="1" t="s">
        <v>13</v>
      </c>
      <c r="G424" s="2">
        <v>45483</v>
      </c>
      <c r="H424" s="2">
        <v>0.45589945601851856</v>
      </c>
      <c r="I424" s="1">
        <v>423</v>
      </c>
      <c r="J424" s="1">
        <v>1030</v>
      </c>
      <c r="K424" s="1">
        <v>47.4</v>
      </c>
      <c r="L424" s="1" t="s">
        <v>436</v>
      </c>
    </row>
    <row r="425" spans="1:12" x14ac:dyDescent="0.25">
      <c r="A425" t="s">
        <v>12</v>
      </c>
      <c r="B425" s="1">
        <v>8</v>
      </c>
      <c r="C425" s="1">
        <v>53</v>
      </c>
      <c r="D425" s="1">
        <v>11.33</v>
      </c>
      <c r="E425" s="1">
        <v>12.3</v>
      </c>
      <c r="F425" s="1" t="s">
        <v>13</v>
      </c>
      <c r="G425" s="2">
        <v>45483</v>
      </c>
      <c r="H425" s="2">
        <v>0.45638209490740739</v>
      </c>
      <c r="I425" s="1">
        <v>424</v>
      </c>
      <c r="J425" s="1">
        <v>998</v>
      </c>
      <c r="K425" s="1">
        <v>47</v>
      </c>
      <c r="L425" s="1" t="s">
        <v>437</v>
      </c>
    </row>
    <row r="426" spans="1:12" x14ac:dyDescent="0.25">
      <c r="A426" t="s">
        <v>12</v>
      </c>
      <c r="B426" s="1">
        <v>8</v>
      </c>
      <c r="C426" s="1">
        <v>54</v>
      </c>
      <c r="D426" s="1">
        <v>11.66</v>
      </c>
      <c r="E426" s="1">
        <v>12.5</v>
      </c>
      <c r="F426" s="1" t="s">
        <v>13</v>
      </c>
      <c r="G426" s="2">
        <v>45483</v>
      </c>
      <c r="H426" s="2">
        <v>0.45702754629629633</v>
      </c>
      <c r="I426" s="1">
        <v>425</v>
      </c>
      <c r="J426" s="1">
        <v>1009</v>
      </c>
      <c r="K426" s="1">
        <v>47.4</v>
      </c>
      <c r="L426" s="1" t="s">
        <v>438</v>
      </c>
    </row>
    <row r="427" spans="1:12" x14ac:dyDescent="0.25">
      <c r="A427" t="s">
        <v>12</v>
      </c>
      <c r="B427" s="1">
        <v>7</v>
      </c>
      <c r="C427" s="1">
        <v>54</v>
      </c>
      <c r="D427" s="1">
        <v>11.39</v>
      </c>
      <c r="E427" s="1">
        <v>12.5</v>
      </c>
      <c r="F427" s="1" t="s">
        <v>13</v>
      </c>
      <c r="G427" s="2">
        <v>45483</v>
      </c>
      <c r="H427" s="2">
        <v>0.45752199074074074</v>
      </c>
      <c r="I427" s="1">
        <v>426</v>
      </c>
      <c r="J427" s="1">
        <v>1009</v>
      </c>
      <c r="K427" s="1">
        <v>47.1</v>
      </c>
      <c r="L427" s="1" t="s">
        <v>439</v>
      </c>
    </row>
    <row r="428" spans="1:12" x14ac:dyDescent="0.25">
      <c r="A428" t="s">
        <v>12</v>
      </c>
      <c r="B428" s="1">
        <v>6</v>
      </c>
      <c r="C428" s="1">
        <v>54</v>
      </c>
      <c r="D428" s="1">
        <v>11.39</v>
      </c>
      <c r="E428" s="1">
        <v>12.8</v>
      </c>
      <c r="F428" s="1" t="s">
        <v>13</v>
      </c>
      <c r="G428" s="2">
        <v>45483</v>
      </c>
      <c r="H428" s="2">
        <v>0.45805439814814813</v>
      </c>
      <c r="I428" s="1">
        <v>427</v>
      </c>
      <c r="J428" s="1">
        <v>1025</v>
      </c>
      <c r="K428" s="1">
        <v>46.9</v>
      </c>
      <c r="L428" s="1" t="s">
        <v>440</v>
      </c>
    </row>
    <row r="429" spans="1:12" x14ac:dyDescent="0.25">
      <c r="A429" t="s">
        <v>12</v>
      </c>
      <c r="B429" s="1">
        <v>5</v>
      </c>
      <c r="C429" s="1">
        <v>54</v>
      </c>
      <c r="D429" s="1">
        <v>12.58</v>
      </c>
      <c r="E429" s="1">
        <v>14.7</v>
      </c>
      <c r="F429" s="1" t="s">
        <v>13</v>
      </c>
      <c r="G429" s="2">
        <v>45483</v>
      </c>
      <c r="H429" s="2">
        <v>0.45863503472222222</v>
      </c>
      <c r="I429" s="1">
        <v>428</v>
      </c>
      <c r="J429" s="1">
        <v>1130</v>
      </c>
      <c r="K429" s="1">
        <v>47</v>
      </c>
      <c r="L429" s="1" t="s">
        <v>441</v>
      </c>
    </row>
    <row r="430" spans="1:12" x14ac:dyDescent="0.25">
      <c r="A430" t="s">
        <v>12</v>
      </c>
      <c r="B430" s="1">
        <v>4</v>
      </c>
      <c r="C430" s="1">
        <v>54</v>
      </c>
      <c r="D430" s="1">
        <v>13.09</v>
      </c>
      <c r="E430" s="1">
        <v>12.7</v>
      </c>
      <c r="F430" s="1" t="s">
        <v>13</v>
      </c>
      <c r="G430" s="2">
        <v>45483</v>
      </c>
      <c r="H430" s="2">
        <v>0.45922184027777779</v>
      </c>
      <c r="I430" s="1">
        <v>429</v>
      </c>
      <c r="J430" s="1">
        <v>1023</v>
      </c>
      <c r="K430" s="1">
        <v>47.1</v>
      </c>
      <c r="L430" s="1" t="s">
        <v>442</v>
      </c>
    </row>
    <row r="431" spans="1:12" x14ac:dyDescent="0.25">
      <c r="A431" t="s">
        <v>12</v>
      </c>
      <c r="B431" s="1">
        <v>3</v>
      </c>
      <c r="C431" s="1">
        <v>54</v>
      </c>
      <c r="D431" s="1">
        <v>12.52</v>
      </c>
      <c r="E431" s="1">
        <v>12.7</v>
      </c>
      <c r="F431" s="1" t="s">
        <v>13</v>
      </c>
      <c r="G431" s="2">
        <v>45483</v>
      </c>
      <c r="H431" s="2">
        <v>0.45985798611111112</v>
      </c>
      <c r="I431" s="1">
        <v>430</v>
      </c>
      <c r="J431" s="1">
        <v>1021</v>
      </c>
      <c r="K431" s="1">
        <v>47</v>
      </c>
      <c r="L431" s="1" t="s">
        <v>443</v>
      </c>
    </row>
    <row r="432" spans="1:12" x14ac:dyDescent="0.25">
      <c r="A432" t="s">
        <v>12</v>
      </c>
      <c r="B432" s="1">
        <v>2</v>
      </c>
      <c r="C432" s="1">
        <v>54</v>
      </c>
      <c r="D432" s="1">
        <v>12.46</v>
      </c>
      <c r="E432" s="1">
        <v>13</v>
      </c>
      <c r="F432" s="1" t="s">
        <v>13</v>
      </c>
      <c r="G432" s="2">
        <v>45483</v>
      </c>
      <c r="H432" s="2">
        <v>0.46032711805555554</v>
      </c>
      <c r="I432" s="1">
        <v>431</v>
      </c>
      <c r="J432" s="1">
        <v>1038</v>
      </c>
      <c r="K432" s="1">
        <v>46.6</v>
      </c>
      <c r="L432" s="1" t="s">
        <v>444</v>
      </c>
    </row>
    <row r="433" spans="1:12" x14ac:dyDescent="0.25">
      <c r="A433" t="s">
        <v>12</v>
      </c>
      <c r="B433" s="1">
        <v>1</v>
      </c>
      <c r="C433" s="1">
        <v>54</v>
      </c>
      <c r="D433" s="1">
        <v>11.07</v>
      </c>
      <c r="E433" s="1">
        <v>13.3</v>
      </c>
      <c r="F433" s="1" t="s">
        <v>13</v>
      </c>
      <c r="G433" s="2">
        <v>45483</v>
      </c>
      <c r="H433" s="2">
        <v>0.46081952546296295</v>
      </c>
      <c r="I433" s="1">
        <v>432</v>
      </c>
      <c r="J433" s="1">
        <v>1053</v>
      </c>
      <c r="K433" s="1">
        <v>46.5</v>
      </c>
      <c r="L433" s="1" t="s">
        <v>445</v>
      </c>
    </row>
    <row r="434" spans="1:12" x14ac:dyDescent="0.25">
      <c r="A434" t="s">
        <v>12</v>
      </c>
      <c r="B434" s="1">
        <v>1</v>
      </c>
      <c r="C434" s="1">
        <v>55</v>
      </c>
      <c r="D434" s="1">
        <v>9.64</v>
      </c>
      <c r="E434" s="1">
        <v>12.3</v>
      </c>
      <c r="F434" s="1" t="s">
        <v>13</v>
      </c>
      <c r="G434" s="2">
        <v>45483</v>
      </c>
      <c r="H434" s="2">
        <v>0.46169282407407408</v>
      </c>
      <c r="I434" s="1">
        <v>433</v>
      </c>
      <c r="J434" s="1">
        <v>994</v>
      </c>
      <c r="K434" s="1">
        <v>47</v>
      </c>
      <c r="L434" s="1" t="s">
        <v>446</v>
      </c>
    </row>
    <row r="435" spans="1:12" x14ac:dyDescent="0.25">
      <c r="A435" t="s">
        <v>12</v>
      </c>
      <c r="B435" s="1">
        <v>2</v>
      </c>
      <c r="C435" s="1">
        <v>55</v>
      </c>
      <c r="D435" s="1">
        <v>12.17</v>
      </c>
      <c r="E435" s="1">
        <v>12.3</v>
      </c>
      <c r="F435" s="1" t="s">
        <v>13</v>
      </c>
      <c r="G435" s="2">
        <v>45483</v>
      </c>
      <c r="H435" s="2">
        <v>0.46219899305555551</v>
      </c>
      <c r="I435" s="1">
        <v>434</v>
      </c>
      <c r="J435" s="1">
        <v>993</v>
      </c>
      <c r="K435" s="1">
        <v>46.9</v>
      </c>
      <c r="L435" s="1" t="s">
        <v>447</v>
      </c>
    </row>
    <row r="436" spans="1:12" x14ac:dyDescent="0.25">
      <c r="A436" t="s">
        <v>12</v>
      </c>
      <c r="B436" s="1">
        <v>3</v>
      </c>
      <c r="C436" s="1">
        <v>55</v>
      </c>
      <c r="D436" s="1">
        <v>11.12</v>
      </c>
      <c r="E436" s="1">
        <v>12.3</v>
      </c>
      <c r="F436" s="1" t="s">
        <v>13</v>
      </c>
      <c r="G436" s="2">
        <v>45483</v>
      </c>
      <c r="H436" s="2">
        <v>0.46284170138888892</v>
      </c>
      <c r="I436" s="1">
        <v>435</v>
      </c>
      <c r="J436" s="1">
        <v>994</v>
      </c>
      <c r="K436" s="1">
        <v>46.9</v>
      </c>
      <c r="L436" s="1" t="s">
        <v>448</v>
      </c>
    </row>
    <row r="437" spans="1:12" x14ac:dyDescent="0.25">
      <c r="A437" t="s">
        <v>12</v>
      </c>
      <c r="B437" s="1">
        <v>4</v>
      </c>
      <c r="C437" s="1">
        <v>55</v>
      </c>
      <c r="D437" s="1">
        <v>12.85</v>
      </c>
      <c r="E437" s="1">
        <v>12.2</v>
      </c>
      <c r="F437" s="1" t="s">
        <v>13</v>
      </c>
      <c r="G437" s="2">
        <v>45483</v>
      </c>
      <c r="H437" s="2">
        <v>0.46341924768518522</v>
      </c>
      <c r="I437" s="1">
        <v>436</v>
      </c>
      <c r="J437" s="1">
        <v>989</v>
      </c>
      <c r="K437" s="1">
        <v>46.7</v>
      </c>
      <c r="L437" s="1" t="s">
        <v>449</v>
      </c>
    </row>
    <row r="438" spans="1:12" x14ac:dyDescent="0.25">
      <c r="A438" t="s">
        <v>12</v>
      </c>
      <c r="B438" s="1">
        <v>5</v>
      </c>
      <c r="C438" s="1">
        <v>55</v>
      </c>
      <c r="D438" s="1">
        <v>11.82</v>
      </c>
      <c r="E438" s="1">
        <v>12.5</v>
      </c>
      <c r="F438" s="1" t="s">
        <v>13</v>
      </c>
      <c r="G438" s="2">
        <v>45483</v>
      </c>
      <c r="H438" s="2">
        <v>0.46401886574074075</v>
      </c>
      <c r="I438" s="1">
        <v>437</v>
      </c>
      <c r="J438" s="1">
        <v>1008</v>
      </c>
      <c r="K438" s="1">
        <v>47</v>
      </c>
      <c r="L438" s="1" t="s">
        <v>450</v>
      </c>
    </row>
    <row r="439" spans="1:12" x14ac:dyDescent="0.25">
      <c r="A439" t="s">
        <v>12</v>
      </c>
      <c r="B439" s="1">
        <v>6</v>
      </c>
      <c r="C439" s="1">
        <v>55</v>
      </c>
      <c r="D439" s="1">
        <v>11.94</v>
      </c>
      <c r="E439" s="1">
        <v>12</v>
      </c>
      <c r="F439" s="1" t="s">
        <v>13</v>
      </c>
      <c r="G439" s="2">
        <v>45483</v>
      </c>
      <c r="H439" s="2">
        <v>0.46448792824074076</v>
      </c>
      <c r="I439" s="1">
        <v>438</v>
      </c>
      <c r="J439" s="1">
        <v>979</v>
      </c>
      <c r="K439" s="1">
        <v>47</v>
      </c>
      <c r="L439" s="1" t="s">
        <v>451</v>
      </c>
    </row>
    <row r="440" spans="1:12" x14ac:dyDescent="0.25">
      <c r="A440" t="s">
        <v>12</v>
      </c>
      <c r="B440" s="1">
        <v>7</v>
      </c>
      <c r="C440" s="1">
        <v>55</v>
      </c>
      <c r="D440" s="1">
        <v>11.62</v>
      </c>
      <c r="E440" s="1">
        <v>11.9</v>
      </c>
      <c r="F440" s="1" t="s">
        <v>13</v>
      </c>
      <c r="G440" s="2">
        <v>45483</v>
      </c>
      <c r="H440" s="2">
        <v>0.46504837962962964</v>
      </c>
      <c r="I440" s="1">
        <v>439</v>
      </c>
      <c r="J440" s="1">
        <v>969</v>
      </c>
      <c r="K440" s="1">
        <v>47.1</v>
      </c>
      <c r="L440" s="1" t="s">
        <v>452</v>
      </c>
    </row>
    <row r="441" spans="1:12" x14ac:dyDescent="0.25">
      <c r="A441" t="s">
        <v>12</v>
      </c>
      <c r="B441" s="1">
        <v>8</v>
      </c>
      <c r="C441" s="1">
        <v>55</v>
      </c>
      <c r="D441" s="1">
        <v>11.72</v>
      </c>
      <c r="E441" s="1">
        <v>11.9</v>
      </c>
      <c r="F441" s="1" t="s">
        <v>13</v>
      </c>
      <c r="G441" s="2">
        <v>45483</v>
      </c>
      <c r="H441" s="2">
        <v>0.46558017361111109</v>
      </c>
      <c r="I441" s="1">
        <v>440</v>
      </c>
      <c r="J441" s="1">
        <v>971</v>
      </c>
      <c r="K441" s="1">
        <v>47.1</v>
      </c>
      <c r="L441" s="1" t="s">
        <v>453</v>
      </c>
    </row>
    <row r="442" spans="1:12" x14ac:dyDescent="0.25">
      <c r="A442" t="s">
        <v>12</v>
      </c>
      <c r="B442" s="1">
        <v>8</v>
      </c>
      <c r="C442" s="1">
        <v>56</v>
      </c>
      <c r="D442" s="1">
        <v>11.38</v>
      </c>
      <c r="E442" s="1">
        <v>11.9</v>
      </c>
      <c r="F442" s="1" t="s">
        <v>13</v>
      </c>
      <c r="G442" s="2">
        <v>45483</v>
      </c>
      <c r="H442" s="2">
        <v>0.4662778587962963</v>
      </c>
      <c r="I442" s="1">
        <v>441</v>
      </c>
      <c r="J442" s="1">
        <v>973</v>
      </c>
      <c r="K442" s="1">
        <v>47.8</v>
      </c>
      <c r="L442" s="1" t="s">
        <v>454</v>
      </c>
    </row>
    <row r="443" spans="1:12" x14ac:dyDescent="0.25">
      <c r="A443" t="s">
        <v>12</v>
      </c>
      <c r="B443" s="1">
        <v>7</v>
      </c>
      <c r="C443" s="1">
        <v>56</v>
      </c>
      <c r="D443" s="1">
        <v>11.29</v>
      </c>
      <c r="E443" s="1">
        <v>11.8</v>
      </c>
      <c r="F443" s="1" t="s">
        <v>13</v>
      </c>
      <c r="G443" s="2">
        <v>45483</v>
      </c>
      <c r="H443" s="2">
        <v>0.46692199074074076</v>
      </c>
      <c r="I443" s="1">
        <v>442</v>
      </c>
      <c r="J443" s="1">
        <v>963</v>
      </c>
      <c r="K443" s="1">
        <v>47.4</v>
      </c>
      <c r="L443" s="1" t="s">
        <v>455</v>
      </c>
    </row>
    <row r="444" spans="1:12" x14ac:dyDescent="0.25">
      <c r="A444" t="s">
        <v>12</v>
      </c>
      <c r="B444" s="1">
        <v>6</v>
      </c>
      <c r="C444" s="1">
        <v>56</v>
      </c>
      <c r="D444" s="1">
        <v>13.64</v>
      </c>
      <c r="E444" s="1">
        <v>13.1</v>
      </c>
      <c r="F444" s="1" t="s">
        <v>13</v>
      </c>
      <c r="G444" s="2">
        <v>45483</v>
      </c>
      <c r="H444" s="2">
        <v>0.4676344097222222</v>
      </c>
      <c r="I444" s="1">
        <v>443</v>
      </c>
      <c r="J444" s="1">
        <v>1043</v>
      </c>
      <c r="K444" s="1">
        <v>47.3</v>
      </c>
      <c r="L444" s="1" t="s">
        <v>456</v>
      </c>
    </row>
    <row r="445" spans="1:12" x14ac:dyDescent="0.25">
      <c r="A445" t="s">
        <v>12</v>
      </c>
      <c r="B445" s="1">
        <v>5</v>
      </c>
      <c r="C445" s="1">
        <v>56</v>
      </c>
      <c r="D445" s="1">
        <v>13.43</v>
      </c>
      <c r="E445" s="1">
        <v>12.8</v>
      </c>
      <c r="F445" s="1" t="s">
        <v>13</v>
      </c>
      <c r="G445" s="2">
        <v>45483</v>
      </c>
      <c r="H445" s="2">
        <v>0.46813063657407411</v>
      </c>
      <c r="I445" s="1">
        <v>444</v>
      </c>
      <c r="J445" s="1">
        <v>1027</v>
      </c>
      <c r="K445" s="1">
        <v>47</v>
      </c>
      <c r="L445" s="1" t="s">
        <v>457</v>
      </c>
    </row>
    <row r="446" spans="1:12" x14ac:dyDescent="0.25">
      <c r="A446" t="s">
        <v>12</v>
      </c>
      <c r="B446" s="1">
        <v>4</v>
      </c>
      <c r="C446" s="1">
        <v>56</v>
      </c>
      <c r="D446" s="1">
        <v>12.07</v>
      </c>
      <c r="E446" s="1">
        <v>13</v>
      </c>
      <c r="F446" s="1" t="s">
        <v>13</v>
      </c>
      <c r="G446" s="2">
        <v>45483</v>
      </c>
      <c r="H446" s="2">
        <v>0.46858221064814815</v>
      </c>
      <c r="I446" s="1">
        <v>445</v>
      </c>
      <c r="J446" s="1">
        <v>1036</v>
      </c>
      <c r="K446" s="1">
        <v>46.9</v>
      </c>
      <c r="L446" s="1" t="s">
        <v>458</v>
      </c>
    </row>
    <row r="447" spans="1:12" x14ac:dyDescent="0.25">
      <c r="A447" t="s">
        <v>12</v>
      </c>
      <c r="B447" s="1">
        <v>3</v>
      </c>
      <c r="C447" s="1">
        <v>56</v>
      </c>
      <c r="D447" s="1">
        <v>10.7</v>
      </c>
      <c r="E447" s="1">
        <v>13</v>
      </c>
      <c r="F447" s="1" t="s">
        <v>13</v>
      </c>
      <c r="G447" s="2">
        <v>45483</v>
      </c>
      <c r="H447" s="2">
        <v>0.46913009259259258</v>
      </c>
      <c r="I447" s="1">
        <v>446</v>
      </c>
      <c r="J447" s="1">
        <v>1036</v>
      </c>
      <c r="K447" s="1">
        <v>47</v>
      </c>
      <c r="L447" s="1" t="s">
        <v>459</v>
      </c>
    </row>
    <row r="448" spans="1:12" x14ac:dyDescent="0.25">
      <c r="A448" t="s">
        <v>12</v>
      </c>
      <c r="B448" s="1">
        <v>2</v>
      </c>
      <c r="C448" s="1">
        <v>56</v>
      </c>
      <c r="D448" s="1">
        <v>11.51</v>
      </c>
      <c r="E448" s="1">
        <v>13.2</v>
      </c>
      <c r="F448" s="1" t="s">
        <v>13</v>
      </c>
      <c r="G448" s="2">
        <v>45483</v>
      </c>
      <c r="H448" s="2">
        <v>0.46961640046296299</v>
      </c>
      <c r="I448" s="1">
        <v>447</v>
      </c>
      <c r="J448" s="1">
        <v>1047</v>
      </c>
      <c r="K448" s="1">
        <v>47.1</v>
      </c>
      <c r="L448" s="1" t="s">
        <v>460</v>
      </c>
    </row>
    <row r="449" spans="1:12" x14ac:dyDescent="0.25">
      <c r="A449" t="s">
        <v>12</v>
      </c>
      <c r="B449" s="1">
        <v>1</v>
      </c>
      <c r="C449" s="1">
        <v>56</v>
      </c>
      <c r="D449" s="1">
        <v>11.07</v>
      </c>
      <c r="E449" s="1">
        <v>12.4</v>
      </c>
      <c r="F449" s="1" t="s">
        <v>13</v>
      </c>
      <c r="G449" s="2">
        <v>45483</v>
      </c>
      <c r="H449" s="2">
        <v>0.47004432870370366</v>
      </c>
      <c r="I449" s="1">
        <v>448</v>
      </c>
      <c r="J449" s="1">
        <v>1003</v>
      </c>
      <c r="K449" s="1">
        <v>47.1</v>
      </c>
      <c r="L449" s="1" t="s">
        <v>461</v>
      </c>
    </row>
    <row r="450" spans="1:12" x14ac:dyDescent="0.25">
      <c r="A450" t="s">
        <v>12</v>
      </c>
      <c r="B450" s="1">
        <v>1</v>
      </c>
      <c r="C450" s="1">
        <v>57</v>
      </c>
      <c r="D450" s="1">
        <v>10.050000000000001</v>
      </c>
      <c r="E450" s="1">
        <v>11.6</v>
      </c>
      <c r="F450" s="1" t="s">
        <v>13</v>
      </c>
      <c r="G450" s="2">
        <v>45483</v>
      </c>
      <c r="H450" s="2">
        <v>0.47581253472222224</v>
      </c>
      <c r="I450" s="1">
        <v>449</v>
      </c>
      <c r="J450" s="1">
        <v>969</v>
      </c>
      <c r="K450" s="1">
        <v>50.4</v>
      </c>
      <c r="L450" s="1" t="s">
        <v>462</v>
      </c>
    </row>
    <row r="451" spans="1:12" x14ac:dyDescent="0.25">
      <c r="A451" t="s">
        <v>12</v>
      </c>
      <c r="B451" s="1">
        <v>2</v>
      </c>
      <c r="C451" s="1">
        <v>57</v>
      </c>
      <c r="D451" s="1">
        <v>10.95</v>
      </c>
      <c r="E451" s="1">
        <v>11.9</v>
      </c>
      <c r="F451" s="1" t="s">
        <v>13</v>
      </c>
      <c r="G451" s="2">
        <v>45483</v>
      </c>
      <c r="H451" s="2">
        <v>0.47634502314814814</v>
      </c>
      <c r="I451" s="1">
        <v>450</v>
      </c>
      <c r="J451" s="1">
        <v>984</v>
      </c>
      <c r="K451" s="1">
        <v>49.7</v>
      </c>
      <c r="L451" s="1" t="s">
        <v>463</v>
      </c>
    </row>
    <row r="452" spans="1:12" x14ac:dyDescent="0.25">
      <c r="A452" t="s">
        <v>12</v>
      </c>
      <c r="B452" s="1">
        <v>3</v>
      </c>
      <c r="C452" s="1">
        <v>57</v>
      </c>
      <c r="D452" s="1">
        <v>10.24</v>
      </c>
      <c r="E452" s="1">
        <v>11.6</v>
      </c>
      <c r="F452" s="1" t="s">
        <v>13</v>
      </c>
      <c r="G452" s="2">
        <v>45483</v>
      </c>
      <c r="H452" s="2">
        <v>0.47701605324074076</v>
      </c>
      <c r="I452" s="1">
        <v>451</v>
      </c>
      <c r="J452" s="1">
        <v>967</v>
      </c>
      <c r="K452" s="1">
        <v>49.4</v>
      </c>
      <c r="L452" s="1" t="s">
        <v>464</v>
      </c>
    </row>
    <row r="453" spans="1:12" x14ac:dyDescent="0.25">
      <c r="A453" t="s">
        <v>12</v>
      </c>
      <c r="B453" s="1">
        <v>4</v>
      </c>
      <c r="C453" s="1">
        <v>57</v>
      </c>
      <c r="D453" s="1">
        <v>11.01</v>
      </c>
      <c r="E453" s="1">
        <v>11.6</v>
      </c>
      <c r="F453" s="1" t="s">
        <v>13</v>
      </c>
      <c r="G453" s="2">
        <v>45483</v>
      </c>
      <c r="H453" s="2">
        <v>0.47774089120370372</v>
      </c>
      <c r="I453" s="1">
        <v>452</v>
      </c>
      <c r="J453" s="1">
        <v>962</v>
      </c>
      <c r="K453" s="1">
        <v>49.2</v>
      </c>
      <c r="L453" s="1" t="s">
        <v>465</v>
      </c>
    </row>
    <row r="454" spans="1:12" x14ac:dyDescent="0.25">
      <c r="A454" t="s">
        <v>12</v>
      </c>
      <c r="B454" s="1">
        <v>5</v>
      </c>
      <c r="C454" s="1">
        <v>57</v>
      </c>
      <c r="D454" s="1">
        <v>11.6</v>
      </c>
      <c r="E454" s="1">
        <v>12.2</v>
      </c>
      <c r="F454" s="1" t="s">
        <v>13</v>
      </c>
      <c r="G454" s="2">
        <v>45483</v>
      </c>
      <c r="H454" s="2">
        <v>0.47822427083333335</v>
      </c>
      <c r="I454" s="1">
        <v>453</v>
      </c>
      <c r="J454" s="1">
        <v>1000</v>
      </c>
      <c r="K454" s="1">
        <v>48.6</v>
      </c>
      <c r="L454" s="1" t="s">
        <v>466</v>
      </c>
    </row>
    <row r="455" spans="1:12" x14ac:dyDescent="0.25">
      <c r="A455" t="s">
        <v>12</v>
      </c>
      <c r="B455" s="1">
        <v>6</v>
      </c>
      <c r="C455" s="1">
        <v>57</v>
      </c>
      <c r="D455" s="1">
        <v>12.43</v>
      </c>
      <c r="E455" s="1">
        <v>11.2</v>
      </c>
      <c r="F455" s="1" t="s">
        <v>13</v>
      </c>
      <c r="G455" s="2">
        <v>45483</v>
      </c>
      <c r="H455" s="2">
        <v>0.47888637731481482</v>
      </c>
      <c r="I455" s="1">
        <v>454</v>
      </c>
      <c r="J455" s="1">
        <v>932</v>
      </c>
      <c r="K455" s="1">
        <v>48.6</v>
      </c>
      <c r="L455" s="1" t="s">
        <v>467</v>
      </c>
    </row>
    <row r="456" spans="1:12" x14ac:dyDescent="0.25">
      <c r="A456" t="s">
        <v>12</v>
      </c>
      <c r="B456" s="1">
        <v>7</v>
      </c>
      <c r="C456" s="1">
        <v>57</v>
      </c>
      <c r="D456" s="1">
        <v>12.03</v>
      </c>
      <c r="E456" s="1">
        <v>11.9</v>
      </c>
      <c r="F456" s="1" t="s">
        <v>13</v>
      </c>
      <c r="G456" s="2">
        <v>45483</v>
      </c>
      <c r="H456" s="2">
        <v>0.47944710648148148</v>
      </c>
      <c r="I456" s="1">
        <v>455</v>
      </c>
      <c r="J456" s="1">
        <v>980</v>
      </c>
      <c r="K456" s="1">
        <v>48.5</v>
      </c>
      <c r="L456" s="1" t="s">
        <v>468</v>
      </c>
    </row>
    <row r="457" spans="1:12" x14ac:dyDescent="0.25">
      <c r="A457" t="s">
        <v>12</v>
      </c>
      <c r="B457" s="1">
        <v>8</v>
      </c>
      <c r="C457" s="1">
        <v>57</v>
      </c>
      <c r="D457" s="1">
        <v>11.42</v>
      </c>
      <c r="E457" s="1">
        <v>11.7</v>
      </c>
      <c r="F457" s="1" t="s">
        <v>13</v>
      </c>
      <c r="G457" s="2">
        <v>45483</v>
      </c>
      <c r="H457" s="2">
        <v>0.48002129629629631</v>
      </c>
      <c r="I457" s="1">
        <v>456</v>
      </c>
      <c r="J457" s="1">
        <v>966</v>
      </c>
      <c r="K457" s="1">
        <v>48.4</v>
      </c>
      <c r="L457" s="1" t="s">
        <v>469</v>
      </c>
    </row>
    <row r="458" spans="1:12" x14ac:dyDescent="0.25">
      <c r="A458" t="s">
        <v>12</v>
      </c>
      <c r="B458" s="1">
        <v>8</v>
      </c>
      <c r="C458" s="1">
        <v>58</v>
      </c>
      <c r="D458" s="1">
        <v>11.72</v>
      </c>
      <c r="E458" s="1">
        <v>12.6</v>
      </c>
      <c r="F458" s="1" t="s">
        <v>13</v>
      </c>
      <c r="G458" s="2">
        <v>45483</v>
      </c>
      <c r="H458" s="2">
        <v>0.4811015856481482</v>
      </c>
      <c r="I458" s="1">
        <v>457</v>
      </c>
      <c r="J458" s="1">
        <v>1023</v>
      </c>
      <c r="K458" s="1">
        <v>48.8</v>
      </c>
      <c r="L458" s="1" t="s">
        <v>470</v>
      </c>
    </row>
    <row r="459" spans="1:12" x14ac:dyDescent="0.25">
      <c r="A459" t="s">
        <v>12</v>
      </c>
      <c r="B459" s="1">
        <v>7</v>
      </c>
      <c r="C459" s="1">
        <v>58</v>
      </c>
      <c r="D459" s="1">
        <v>12.27</v>
      </c>
      <c r="E459" s="1">
        <v>13</v>
      </c>
      <c r="F459" s="1" t="s">
        <v>13</v>
      </c>
      <c r="G459" s="2">
        <v>45483</v>
      </c>
      <c r="H459" s="2">
        <v>0.48177271990740739</v>
      </c>
      <c r="I459" s="1">
        <v>458</v>
      </c>
      <c r="J459" s="1">
        <v>1041</v>
      </c>
      <c r="K459" s="1">
        <v>48.1</v>
      </c>
      <c r="L459" s="1" t="s">
        <v>471</v>
      </c>
    </row>
    <row r="460" spans="1:12" x14ac:dyDescent="0.25">
      <c r="A460" t="s">
        <v>12</v>
      </c>
      <c r="B460" s="1">
        <v>6</v>
      </c>
      <c r="C460" s="1">
        <v>58</v>
      </c>
      <c r="D460" s="1">
        <v>12.09</v>
      </c>
      <c r="E460" s="1">
        <v>12.9</v>
      </c>
      <c r="F460" s="1" t="s">
        <v>13</v>
      </c>
      <c r="G460" s="2">
        <v>45483</v>
      </c>
      <c r="H460" s="2">
        <v>0.48269070601851849</v>
      </c>
      <c r="I460" s="1">
        <v>459</v>
      </c>
      <c r="J460" s="1">
        <v>1038</v>
      </c>
      <c r="K460" s="1">
        <v>48</v>
      </c>
      <c r="L460" s="1" t="s">
        <v>472</v>
      </c>
    </row>
    <row r="461" spans="1:12" x14ac:dyDescent="0.25">
      <c r="A461" t="s">
        <v>12</v>
      </c>
      <c r="B461" s="1">
        <v>5</v>
      </c>
      <c r="C461" s="1">
        <v>58</v>
      </c>
      <c r="D461" s="1">
        <v>11.85</v>
      </c>
      <c r="E461" s="1">
        <v>12.1</v>
      </c>
      <c r="F461" s="1" t="s">
        <v>13</v>
      </c>
      <c r="G461" s="2">
        <v>45483</v>
      </c>
      <c r="H461" s="2">
        <v>0.48336091435185186</v>
      </c>
      <c r="I461" s="1">
        <v>460</v>
      </c>
      <c r="J461" s="1">
        <v>992</v>
      </c>
      <c r="K461" s="1">
        <v>48</v>
      </c>
      <c r="L461" s="1" t="s">
        <v>473</v>
      </c>
    </row>
    <row r="462" spans="1:12" x14ac:dyDescent="0.25">
      <c r="A462" t="s">
        <v>12</v>
      </c>
      <c r="B462" s="1">
        <v>4</v>
      </c>
      <c r="C462" s="1">
        <v>58</v>
      </c>
      <c r="D462" s="1">
        <v>10.98</v>
      </c>
      <c r="E462" s="1">
        <v>11.8</v>
      </c>
      <c r="F462" s="1" t="s">
        <v>13</v>
      </c>
      <c r="G462" s="2">
        <v>45483</v>
      </c>
      <c r="H462" s="2">
        <v>0.48404082175925928</v>
      </c>
      <c r="I462" s="1">
        <v>461</v>
      </c>
      <c r="J462" s="1">
        <v>967</v>
      </c>
      <c r="K462" s="1">
        <v>48</v>
      </c>
      <c r="L462" s="1" t="s">
        <v>474</v>
      </c>
    </row>
    <row r="463" spans="1:12" x14ac:dyDescent="0.25">
      <c r="A463" t="s">
        <v>12</v>
      </c>
      <c r="B463" s="1">
        <v>3</v>
      </c>
      <c r="C463" s="1">
        <v>58</v>
      </c>
      <c r="D463" s="1">
        <v>10.24</v>
      </c>
      <c r="E463" s="1">
        <v>11.6</v>
      </c>
      <c r="F463" s="1" t="s">
        <v>13</v>
      </c>
      <c r="G463" s="2">
        <v>45483</v>
      </c>
      <c r="H463" s="2">
        <v>0.48474267361111112</v>
      </c>
      <c r="I463" s="1">
        <v>462</v>
      </c>
      <c r="J463" s="1">
        <v>956</v>
      </c>
      <c r="K463" s="1">
        <v>47.7</v>
      </c>
      <c r="L463" s="1" t="s">
        <v>475</v>
      </c>
    </row>
    <row r="464" spans="1:12" x14ac:dyDescent="0.25">
      <c r="A464" t="s">
        <v>12</v>
      </c>
      <c r="B464" s="1">
        <v>2</v>
      </c>
      <c r="C464" s="1">
        <v>58</v>
      </c>
      <c r="D464" s="1">
        <v>11.1</v>
      </c>
      <c r="E464" s="1">
        <v>11.6</v>
      </c>
      <c r="F464" s="1" t="s">
        <v>13</v>
      </c>
      <c r="G464" s="2">
        <v>45483</v>
      </c>
      <c r="H464" s="2">
        <v>0.48526554398148147</v>
      </c>
      <c r="I464" s="1">
        <v>463</v>
      </c>
      <c r="J464" s="1">
        <v>955</v>
      </c>
      <c r="K464" s="1">
        <v>47.7</v>
      </c>
      <c r="L464" s="1" t="s">
        <v>476</v>
      </c>
    </row>
    <row r="465" spans="1:12" x14ac:dyDescent="0.25">
      <c r="A465" t="s">
        <v>12</v>
      </c>
      <c r="B465" s="1">
        <v>1</v>
      </c>
      <c r="C465" s="1">
        <v>58</v>
      </c>
      <c r="D465" s="1">
        <v>10.14</v>
      </c>
      <c r="E465" s="1">
        <v>11.7</v>
      </c>
      <c r="F465" s="1" t="s">
        <v>13</v>
      </c>
      <c r="G465" s="2">
        <v>45483</v>
      </c>
      <c r="H465" s="2">
        <v>0.48580744212962962</v>
      </c>
      <c r="I465" s="1">
        <v>464</v>
      </c>
      <c r="J465" s="1">
        <v>960</v>
      </c>
      <c r="K465" s="1">
        <v>47.7</v>
      </c>
      <c r="L465" s="1" t="s">
        <v>477</v>
      </c>
    </row>
    <row r="466" spans="1:12" x14ac:dyDescent="0.25">
      <c r="A466" t="s">
        <v>12</v>
      </c>
      <c r="B466" s="1">
        <v>1</v>
      </c>
      <c r="C466" s="1">
        <v>59</v>
      </c>
      <c r="D466" s="1">
        <v>9.99</v>
      </c>
      <c r="E466" s="1">
        <v>12</v>
      </c>
      <c r="F466" s="1" t="s">
        <v>13</v>
      </c>
      <c r="G466" s="2">
        <v>45483</v>
      </c>
      <c r="H466" s="2">
        <v>0.48670891203703703</v>
      </c>
      <c r="I466" s="1">
        <v>465</v>
      </c>
      <c r="J466" s="1">
        <v>988</v>
      </c>
      <c r="K466" s="1">
        <v>48.9</v>
      </c>
      <c r="L466" s="1" t="s">
        <v>478</v>
      </c>
    </row>
    <row r="467" spans="1:12" x14ac:dyDescent="0.25">
      <c r="A467" t="s">
        <v>12</v>
      </c>
      <c r="B467" s="1">
        <v>2</v>
      </c>
      <c r="C467" s="1">
        <v>59</v>
      </c>
      <c r="D467" s="1">
        <v>10.98</v>
      </c>
      <c r="E467" s="1">
        <v>11.3</v>
      </c>
      <c r="F467" s="1" t="s">
        <v>13</v>
      </c>
      <c r="G467" s="2">
        <v>45483</v>
      </c>
      <c r="H467" s="2">
        <v>0.48729656250000003</v>
      </c>
      <c r="I467" s="1">
        <v>466</v>
      </c>
      <c r="J467" s="1">
        <v>938</v>
      </c>
      <c r="K467" s="1">
        <v>48.2</v>
      </c>
      <c r="L467" s="1" t="s">
        <v>479</v>
      </c>
    </row>
    <row r="468" spans="1:12" x14ac:dyDescent="0.25">
      <c r="A468" t="s">
        <v>12</v>
      </c>
      <c r="B468" s="1">
        <v>3</v>
      </c>
      <c r="C468" s="1">
        <v>59</v>
      </c>
      <c r="D468" s="1">
        <v>9.6199999999999992</v>
      </c>
      <c r="E468" s="1">
        <v>12.1</v>
      </c>
      <c r="F468" s="1" t="s">
        <v>13</v>
      </c>
      <c r="G468" s="2">
        <v>45483</v>
      </c>
      <c r="H468" s="2">
        <v>0.48785940972222225</v>
      </c>
      <c r="I468" s="1">
        <v>467</v>
      </c>
      <c r="J468" s="1">
        <v>990</v>
      </c>
      <c r="K468" s="1">
        <v>48.1</v>
      </c>
      <c r="L468" s="1" t="s">
        <v>480</v>
      </c>
    </row>
    <row r="469" spans="1:12" x14ac:dyDescent="0.25">
      <c r="A469" t="s">
        <v>12</v>
      </c>
      <c r="B469" s="1">
        <v>4</v>
      </c>
      <c r="C469" s="1">
        <v>59</v>
      </c>
      <c r="D469" s="1">
        <v>11.19</v>
      </c>
      <c r="E469" s="1">
        <v>13.2</v>
      </c>
      <c r="F469" s="1" t="s">
        <v>13</v>
      </c>
      <c r="G469" s="2">
        <v>45483</v>
      </c>
      <c r="H469" s="2">
        <v>0.48845034722222219</v>
      </c>
      <c r="I469" s="1">
        <v>468</v>
      </c>
      <c r="J469" s="1">
        <v>1052</v>
      </c>
      <c r="K469" s="1">
        <v>48</v>
      </c>
      <c r="L469" s="1" t="s">
        <v>481</v>
      </c>
    </row>
    <row r="470" spans="1:12" x14ac:dyDescent="0.25">
      <c r="A470" t="s">
        <v>12</v>
      </c>
      <c r="B470" s="1">
        <v>5</v>
      </c>
      <c r="C470" s="1">
        <v>59</v>
      </c>
      <c r="D470" s="1">
        <v>12.13</v>
      </c>
      <c r="E470" s="1">
        <v>11.4</v>
      </c>
      <c r="F470" s="1" t="s">
        <v>13</v>
      </c>
      <c r="G470" s="2">
        <v>45483</v>
      </c>
      <c r="H470" s="2">
        <v>0.48891346064814817</v>
      </c>
      <c r="I470" s="1">
        <v>469</v>
      </c>
      <c r="J470" s="1">
        <v>946</v>
      </c>
      <c r="K470" s="1">
        <v>48</v>
      </c>
      <c r="L470" s="1" t="s">
        <v>482</v>
      </c>
    </row>
    <row r="471" spans="1:12" x14ac:dyDescent="0.25">
      <c r="A471" t="s">
        <v>12</v>
      </c>
      <c r="B471" s="1">
        <v>6</v>
      </c>
      <c r="C471" s="1">
        <v>59</v>
      </c>
      <c r="D471" s="1">
        <v>11.57</v>
      </c>
      <c r="E471" s="1">
        <v>11.1</v>
      </c>
      <c r="F471" s="1" t="s">
        <v>13</v>
      </c>
      <c r="G471" s="2">
        <v>45483</v>
      </c>
      <c r="H471" s="2">
        <v>0.48960289351851854</v>
      </c>
      <c r="I471" s="1">
        <v>470</v>
      </c>
      <c r="J471" s="1">
        <v>926</v>
      </c>
      <c r="K471" s="1">
        <v>48.1</v>
      </c>
      <c r="L471" s="1" t="s">
        <v>483</v>
      </c>
    </row>
    <row r="472" spans="1:12" x14ac:dyDescent="0.25">
      <c r="A472" t="s">
        <v>12</v>
      </c>
      <c r="B472" s="1">
        <v>7</v>
      </c>
      <c r="C472" s="1">
        <v>59</v>
      </c>
      <c r="D472" s="1">
        <v>6.48</v>
      </c>
      <c r="E472" s="1">
        <v>9.9</v>
      </c>
      <c r="F472" s="1" t="s">
        <v>13</v>
      </c>
      <c r="G472" s="2">
        <v>45483</v>
      </c>
      <c r="H472" s="2">
        <v>0.49420520833333331</v>
      </c>
      <c r="I472" s="1">
        <v>471</v>
      </c>
      <c r="J472" s="1">
        <v>839</v>
      </c>
      <c r="K472" s="1">
        <v>48.1</v>
      </c>
      <c r="L472" s="1" t="s">
        <v>484</v>
      </c>
    </row>
    <row r="473" spans="1:12" x14ac:dyDescent="0.25">
      <c r="A473" t="s">
        <v>12</v>
      </c>
      <c r="B473" s="1">
        <v>8</v>
      </c>
      <c r="C473" s="1">
        <v>59</v>
      </c>
      <c r="D473" s="1">
        <v>6.27</v>
      </c>
      <c r="E473" s="1">
        <v>11.8</v>
      </c>
      <c r="F473" s="1" t="s">
        <v>13</v>
      </c>
      <c r="G473" s="2">
        <v>45483</v>
      </c>
      <c r="H473" s="2">
        <v>0.49499351851851847</v>
      </c>
      <c r="I473" s="1">
        <v>472</v>
      </c>
      <c r="J473" s="1">
        <v>977</v>
      </c>
      <c r="K473" s="1">
        <v>48.8</v>
      </c>
      <c r="L473" s="1" t="s">
        <v>485</v>
      </c>
    </row>
    <row r="474" spans="1:12" x14ac:dyDescent="0.25">
      <c r="A474" t="s">
        <v>12</v>
      </c>
      <c r="B474" s="1">
        <v>8</v>
      </c>
      <c r="C474" s="1">
        <v>60</v>
      </c>
      <c r="D474" s="1">
        <v>10.36</v>
      </c>
      <c r="E474" s="1">
        <v>13.2</v>
      </c>
      <c r="F474" s="1" t="s">
        <v>13</v>
      </c>
      <c r="G474" s="2">
        <v>45483</v>
      </c>
      <c r="H474" s="2">
        <v>0.4980662847222222</v>
      </c>
      <c r="I474" s="1">
        <v>473</v>
      </c>
      <c r="J474" s="1">
        <v>1049</v>
      </c>
      <c r="K474" s="1">
        <v>47.3</v>
      </c>
      <c r="L474" s="1" t="s">
        <v>486</v>
      </c>
    </row>
    <row r="475" spans="1:12" x14ac:dyDescent="0.25">
      <c r="A475" t="s">
        <v>12</v>
      </c>
      <c r="B475" s="1">
        <v>7</v>
      </c>
      <c r="C475" s="1">
        <v>60</v>
      </c>
      <c r="D475" s="1">
        <v>10.98</v>
      </c>
      <c r="E475" s="1">
        <v>12</v>
      </c>
      <c r="F475" s="1" t="s">
        <v>13</v>
      </c>
      <c r="G475" s="2">
        <v>45483</v>
      </c>
      <c r="H475" s="2">
        <v>0.49886177083333333</v>
      </c>
      <c r="I475" s="1">
        <v>474</v>
      </c>
      <c r="J475" s="1">
        <v>980</v>
      </c>
      <c r="K475" s="1">
        <v>47.8</v>
      </c>
      <c r="L475" s="1" t="s">
        <v>487</v>
      </c>
    </row>
    <row r="476" spans="1:12" x14ac:dyDescent="0.25">
      <c r="A476" t="s">
        <v>12</v>
      </c>
      <c r="B476" s="1">
        <v>6</v>
      </c>
      <c r="C476" s="1">
        <v>60</v>
      </c>
      <c r="D476" s="1">
        <v>9.0299999999999994</v>
      </c>
      <c r="E476" s="1">
        <v>11.6</v>
      </c>
      <c r="F476" s="1" t="s">
        <v>13</v>
      </c>
      <c r="G476" s="2">
        <v>45483</v>
      </c>
      <c r="H476" s="2">
        <v>0.49944193287037036</v>
      </c>
      <c r="I476" s="1">
        <v>475</v>
      </c>
      <c r="J476" s="1">
        <v>959</v>
      </c>
      <c r="K476" s="1">
        <v>48</v>
      </c>
      <c r="L476" s="1" t="s">
        <v>488</v>
      </c>
    </row>
    <row r="477" spans="1:12" x14ac:dyDescent="0.25">
      <c r="A477" t="s">
        <v>12</v>
      </c>
      <c r="B477" s="1">
        <v>5</v>
      </c>
      <c r="C477" s="1">
        <v>60</v>
      </c>
      <c r="D477" s="1">
        <v>10.1</v>
      </c>
      <c r="E477" s="1">
        <v>11.5</v>
      </c>
      <c r="F477" s="1" t="s">
        <v>13</v>
      </c>
      <c r="G477" s="2">
        <v>45483</v>
      </c>
      <c r="H477" s="2">
        <v>0.50011982638888886</v>
      </c>
      <c r="I477" s="1">
        <v>476</v>
      </c>
      <c r="J477" s="1">
        <v>950</v>
      </c>
      <c r="K477" s="1">
        <v>48.1</v>
      </c>
      <c r="L477" s="1" t="s">
        <v>489</v>
      </c>
    </row>
    <row r="478" spans="1:12" x14ac:dyDescent="0.25">
      <c r="A478" t="s">
        <v>12</v>
      </c>
      <c r="B478" s="1">
        <v>4</v>
      </c>
      <c r="C478" s="1">
        <v>60</v>
      </c>
      <c r="D478" s="1">
        <v>9.48</v>
      </c>
      <c r="E478" s="1">
        <v>11.5</v>
      </c>
      <c r="F478" s="1" t="s">
        <v>13</v>
      </c>
      <c r="G478" s="2">
        <v>45483</v>
      </c>
      <c r="H478" s="2">
        <v>0.50076577546296297</v>
      </c>
      <c r="I478" s="1">
        <v>477</v>
      </c>
      <c r="J478" s="1">
        <v>947</v>
      </c>
      <c r="K478" s="1">
        <v>47.8</v>
      </c>
      <c r="L478" s="1" t="s">
        <v>490</v>
      </c>
    </row>
    <row r="479" spans="1:12" x14ac:dyDescent="0.25">
      <c r="A479" t="s">
        <v>12</v>
      </c>
      <c r="B479" s="1">
        <v>3</v>
      </c>
      <c r="C479" s="1">
        <v>60</v>
      </c>
      <c r="D479" s="1">
        <v>9.0399999999999991</v>
      </c>
      <c r="E479" s="1">
        <v>12.1</v>
      </c>
      <c r="F479" s="1" t="s">
        <v>13</v>
      </c>
      <c r="G479" s="2">
        <v>45483</v>
      </c>
      <c r="H479" s="2">
        <v>0.50138827546296294</v>
      </c>
      <c r="I479" s="1">
        <v>478</v>
      </c>
      <c r="J479" s="1">
        <v>988</v>
      </c>
      <c r="K479" s="1">
        <v>47.3</v>
      </c>
      <c r="L479" s="1" t="s">
        <v>491</v>
      </c>
    </row>
    <row r="480" spans="1:12" x14ac:dyDescent="0.25">
      <c r="A480" t="s">
        <v>12</v>
      </c>
      <c r="B480" s="1">
        <v>2</v>
      </c>
      <c r="C480" s="1">
        <v>60</v>
      </c>
      <c r="D480" s="1">
        <v>10.46</v>
      </c>
      <c r="E480" s="1">
        <v>12.1</v>
      </c>
      <c r="F480" s="1" t="s">
        <v>13</v>
      </c>
      <c r="G480" s="2">
        <v>45483</v>
      </c>
      <c r="H480" s="2">
        <v>0.50188912037037037</v>
      </c>
      <c r="I480" s="1">
        <v>479</v>
      </c>
      <c r="J480" s="1">
        <v>983</v>
      </c>
      <c r="K480" s="1">
        <v>46.9</v>
      </c>
      <c r="L480" s="1" t="s">
        <v>492</v>
      </c>
    </row>
    <row r="481" spans="1:12" x14ac:dyDescent="0.25">
      <c r="A481" t="s">
        <v>12</v>
      </c>
      <c r="B481" s="1">
        <v>1</v>
      </c>
      <c r="C481" s="1">
        <v>60</v>
      </c>
      <c r="D481" s="1">
        <v>9.9700000000000006</v>
      </c>
      <c r="E481" s="1">
        <v>11.3</v>
      </c>
      <c r="F481" s="1" t="s">
        <v>13</v>
      </c>
      <c r="G481" s="2">
        <v>45483</v>
      </c>
      <c r="H481" s="2">
        <v>0.50245709490740742</v>
      </c>
      <c r="I481" s="1">
        <v>480</v>
      </c>
      <c r="J481" s="1">
        <v>927</v>
      </c>
      <c r="K481" s="1">
        <v>46.6</v>
      </c>
      <c r="L481" s="1" t="s">
        <v>493</v>
      </c>
    </row>
  </sheetData>
  <pageMargins left="0.11811023622047245" right="0.31496062992125984" top="0.55118110236220474" bottom="0.35433070866141736" header="0.31496062992125984" footer="0.31496062992125984"/>
  <pageSetup paperSize="9" scale="75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6"/>
  <sheetViews>
    <sheetView tabSelected="1" workbookViewId="0"/>
  </sheetViews>
  <sheetFormatPr defaultRowHeight="12.5" x14ac:dyDescent="0.25"/>
  <cols>
    <col min="1" max="1" width="16" customWidth="1"/>
    <col min="11" max="11" width="15.7265625" customWidth="1"/>
    <col min="18" max="18" width="17" customWidth="1"/>
  </cols>
  <sheetData>
    <row r="1" spans="1:25" ht="20" x14ac:dyDescent="0.4">
      <c r="A1" s="3" t="s">
        <v>524</v>
      </c>
      <c r="B1" s="4"/>
      <c r="C1" s="5"/>
      <c r="D1" s="5"/>
      <c r="E1" s="6" t="s">
        <v>494</v>
      </c>
      <c r="F1" s="7"/>
      <c r="G1" s="8" t="s">
        <v>495</v>
      </c>
      <c r="H1" s="8"/>
      <c r="I1" s="9"/>
      <c r="J1" s="5"/>
      <c r="K1" s="10"/>
      <c r="L1" s="4"/>
      <c r="M1" s="5"/>
      <c r="N1" s="5"/>
      <c r="O1" s="5"/>
      <c r="P1" s="5"/>
      <c r="Q1" s="11"/>
      <c r="R1" s="11"/>
      <c r="S1" s="11"/>
      <c r="T1" s="11"/>
      <c r="U1" s="11"/>
      <c r="V1" s="11"/>
      <c r="W1" s="11"/>
      <c r="X1" s="11"/>
      <c r="Y1" s="11"/>
    </row>
    <row r="2" spans="1:25" ht="14.5" x14ac:dyDescent="0.35">
      <c r="A2" s="12"/>
      <c r="B2" s="4"/>
      <c r="C2" s="5"/>
      <c r="D2" s="5"/>
      <c r="E2" s="6" t="s">
        <v>496</v>
      </c>
      <c r="F2" s="5"/>
      <c r="G2" s="36">
        <v>45482</v>
      </c>
      <c r="H2" s="37"/>
      <c r="I2" s="11"/>
      <c r="J2" s="11"/>
      <c r="K2" s="12"/>
      <c r="L2" s="4"/>
      <c r="M2" s="5"/>
      <c r="N2" s="5"/>
      <c r="O2" s="5"/>
      <c r="P2" s="5"/>
      <c r="Q2" s="11"/>
      <c r="R2" s="11"/>
      <c r="S2" s="11"/>
      <c r="T2" s="11"/>
      <c r="U2" s="11"/>
      <c r="V2" s="11"/>
      <c r="W2" s="11"/>
      <c r="X2" s="11"/>
      <c r="Y2" s="11"/>
    </row>
    <row r="3" spans="1:25" ht="14.5" x14ac:dyDescent="0.35">
      <c r="A3" s="13"/>
      <c r="B3" s="4"/>
      <c r="C3" s="5"/>
      <c r="D3" s="5"/>
      <c r="E3" s="5"/>
      <c r="F3" s="5"/>
      <c r="G3" s="5"/>
      <c r="H3" s="5"/>
      <c r="I3" s="5"/>
      <c r="J3" s="5"/>
      <c r="K3" s="12"/>
      <c r="L3" s="4"/>
      <c r="M3" s="5"/>
      <c r="N3" s="5"/>
      <c r="O3" s="5"/>
      <c r="P3" s="5"/>
      <c r="Q3" s="11"/>
      <c r="R3" s="11"/>
      <c r="S3" s="11"/>
      <c r="T3" s="11"/>
      <c r="U3" s="11"/>
      <c r="V3" s="11"/>
      <c r="W3" s="11"/>
      <c r="X3" s="11"/>
      <c r="Y3" s="11"/>
    </row>
    <row r="4" spans="1:25" ht="14.5" x14ac:dyDescent="0.35">
      <c r="A4" s="4"/>
      <c r="B4" s="4"/>
      <c r="C4" s="38" t="s">
        <v>497</v>
      </c>
      <c r="D4" s="38"/>
      <c r="E4" s="38"/>
      <c r="F4" s="38"/>
      <c r="G4" s="38"/>
      <c r="H4" s="38"/>
      <c r="I4" s="38"/>
      <c r="J4" s="38"/>
      <c r="K4" s="4"/>
      <c r="L4" s="4"/>
      <c r="M4" s="39" t="s">
        <v>498</v>
      </c>
      <c r="N4" s="40"/>
      <c r="O4" s="40"/>
      <c r="P4" s="40"/>
      <c r="Q4" s="11"/>
      <c r="R4" s="14"/>
      <c r="S4" s="14"/>
      <c r="T4" s="40" t="s">
        <v>499</v>
      </c>
      <c r="U4" s="40"/>
      <c r="V4" s="40"/>
      <c r="W4" s="40"/>
      <c r="X4" s="11"/>
      <c r="Y4" s="11"/>
    </row>
    <row r="5" spans="1:25" ht="14.5" x14ac:dyDescent="0.35">
      <c r="A5" s="4"/>
      <c r="B5" s="4"/>
      <c r="C5" s="37" t="s">
        <v>500</v>
      </c>
      <c r="D5" s="37"/>
      <c r="E5" s="41" t="s">
        <v>501</v>
      </c>
      <c r="F5" s="42"/>
      <c r="G5" s="37" t="s">
        <v>502</v>
      </c>
      <c r="H5" s="37"/>
      <c r="I5" s="41" t="s">
        <v>503</v>
      </c>
      <c r="J5" s="42"/>
      <c r="K5" s="4"/>
      <c r="L5" s="4"/>
      <c r="M5" s="5"/>
      <c r="N5" s="5"/>
      <c r="O5" s="5"/>
      <c r="P5" s="5"/>
      <c r="Q5" s="11"/>
      <c r="R5" s="5"/>
      <c r="S5" s="5"/>
      <c r="T5" s="5"/>
      <c r="U5" s="5"/>
      <c r="V5" s="5"/>
      <c r="W5" s="5"/>
      <c r="X5" s="11"/>
      <c r="Y5" s="11"/>
    </row>
    <row r="6" spans="1:25" ht="14.5" x14ac:dyDescent="0.35">
      <c r="A6" s="4" t="s">
        <v>504</v>
      </c>
      <c r="B6" s="4"/>
      <c r="C6" s="15" t="s">
        <v>505</v>
      </c>
      <c r="D6" s="15" t="s">
        <v>506</v>
      </c>
      <c r="E6" s="16" t="s">
        <v>505</v>
      </c>
      <c r="F6" s="17" t="s">
        <v>506</v>
      </c>
      <c r="G6" s="15" t="s">
        <v>505</v>
      </c>
      <c r="H6" s="15" t="s">
        <v>506</v>
      </c>
      <c r="I6" s="16" t="s">
        <v>505</v>
      </c>
      <c r="J6" s="17" t="s">
        <v>506</v>
      </c>
      <c r="K6" s="4"/>
      <c r="L6" s="4"/>
      <c r="M6" s="4" t="s">
        <v>500</v>
      </c>
      <c r="N6" s="4" t="s">
        <v>501</v>
      </c>
      <c r="O6" s="4" t="s">
        <v>502</v>
      </c>
      <c r="P6" s="4" t="s">
        <v>503</v>
      </c>
      <c r="Q6" s="18" t="s">
        <v>507</v>
      </c>
      <c r="R6" s="4"/>
      <c r="S6" s="4"/>
      <c r="T6" s="4" t="s">
        <v>500</v>
      </c>
      <c r="U6" s="4" t="s">
        <v>501</v>
      </c>
      <c r="V6" s="4" t="s">
        <v>502</v>
      </c>
      <c r="W6" s="4" t="s">
        <v>503</v>
      </c>
      <c r="X6" s="11"/>
      <c r="Y6" s="11"/>
    </row>
    <row r="7" spans="1:25" ht="14.5" x14ac:dyDescent="0.35">
      <c r="A7" s="4"/>
      <c r="B7" s="4">
        <v>1</v>
      </c>
      <c r="C7" s="19">
        <v>5.2</v>
      </c>
      <c r="D7" s="19">
        <v>13</v>
      </c>
      <c r="E7" s="20">
        <v>5.07</v>
      </c>
      <c r="F7" s="21">
        <v>12.7</v>
      </c>
      <c r="G7" s="19">
        <v>5.59</v>
      </c>
      <c r="H7" s="19">
        <v>11.4</v>
      </c>
      <c r="I7" s="20">
        <v>4.6500000000000004</v>
      </c>
      <c r="J7" s="21">
        <v>12</v>
      </c>
      <c r="K7" s="4"/>
      <c r="L7" s="4">
        <v>1</v>
      </c>
      <c r="M7" s="19">
        <f>+(((C7*T7)/85)/12.96)*10</f>
        <v>4.1067538126361658</v>
      </c>
      <c r="N7" s="19">
        <f>+(((E7*U7)/85)/12.96)*10</f>
        <v>4.0178921568627448</v>
      </c>
      <c r="O7" s="19">
        <f>+(((G7*V7)/85)/12.96)*10</f>
        <v>4.4959513435003622</v>
      </c>
      <c r="P7" s="19">
        <f>+(((I7*W7)/85)/12.96)*10</f>
        <v>3.7145969498910674</v>
      </c>
      <c r="Q7" s="22">
        <f>AVERAGE(M7:P7)</f>
        <v>4.083798565722585</v>
      </c>
      <c r="R7" s="4"/>
      <c r="S7" s="4">
        <v>1</v>
      </c>
      <c r="T7" s="19">
        <f>+(100-D7)</f>
        <v>87</v>
      </c>
      <c r="U7" s="19">
        <f>+(100-F7)</f>
        <v>87.3</v>
      </c>
      <c r="V7" s="19">
        <f>+(100-H7)</f>
        <v>88.6</v>
      </c>
      <c r="W7" s="19">
        <f>+(100-J7)</f>
        <v>88</v>
      </c>
      <c r="X7" s="11"/>
      <c r="Y7" s="11"/>
    </row>
    <row r="8" spans="1:25" ht="14.5" x14ac:dyDescent="0.35">
      <c r="A8" s="4"/>
      <c r="B8" s="4">
        <v>2</v>
      </c>
      <c r="C8" s="19">
        <v>8.3800000000000008</v>
      </c>
      <c r="D8" s="19">
        <v>12.1</v>
      </c>
      <c r="E8" s="20">
        <v>7.68</v>
      </c>
      <c r="F8" s="21">
        <v>13.4</v>
      </c>
      <c r="G8" s="19">
        <v>7.48</v>
      </c>
      <c r="H8" s="19">
        <v>12.3</v>
      </c>
      <c r="I8" s="20">
        <v>6.76</v>
      </c>
      <c r="J8" s="21">
        <v>11.9</v>
      </c>
      <c r="K8" s="4"/>
      <c r="L8" s="4">
        <v>2</v>
      </c>
      <c r="M8" s="32">
        <f t="shared" ref="M8:M21" si="0">+(((C8*T8)/85)/12.96)*10</f>
        <v>6.6866557734204788</v>
      </c>
      <c r="N8" s="32">
        <f t="shared" ref="N8:N21" si="1">+(((E8*U8)/85)/12.96)*10</f>
        <v>6.0374727668845303</v>
      </c>
      <c r="O8" s="32">
        <f t="shared" ref="O8:O21" si="2">+(((G8*V8)/85)/12.96)*10</f>
        <v>5.9549382716049379</v>
      </c>
      <c r="P8" s="32">
        <f t="shared" ref="P8:P21" si="3">+(((I8*W8)/85)/12.96)*10</f>
        <v>5.4062817719680458</v>
      </c>
      <c r="Q8" s="22">
        <f t="shared" ref="Q8:Q21" si="4">AVERAGE(M8:P8)</f>
        <v>6.0213371459694986</v>
      </c>
      <c r="R8" s="4"/>
      <c r="S8" s="4">
        <v>2</v>
      </c>
      <c r="T8" s="19">
        <f t="shared" ref="T8:T21" si="5">+(100-D8)</f>
        <v>87.9</v>
      </c>
      <c r="U8" s="19">
        <f t="shared" ref="U8:U21" si="6">+(100-F8)</f>
        <v>86.6</v>
      </c>
      <c r="V8" s="19">
        <f t="shared" ref="V8:V21" si="7">+(100-H8)</f>
        <v>87.7</v>
      </c>
      <c r="W8" s="19">
        <f t="shared" ref="W8:W21" si="8">+(100-J8)</f>
        <v>88.1</v>
      </c>
      <c r="X8" s="11"/>
      <c r="Y8" s="11"/>
    </row>
    <row r="9" spans="1:25" ht="14.5" x14ac:dyDescent="0.35">
      <c r="A9" s="4"/>
      <c r="B9" s="4">
        <v>3</v>
      </c>
      <c r="C9" s="19">
        <v>7.18</v>
      </c>
      <c r="D9" s="19">
        <v>12.8</v>
      </c>
      <c r="E9" s="20">
        <v>6.49</v>
      </c>
      <c r="F9" s="21">
        <v>12.6</v>
      </c>
      <c r="G9" s="19">
        <v>6.28</v>
      </c>
      <c r="H9" s="19">
        <v>11.6</v>
      </c>
      <c r="I9" s="20">
        <v>5.94</v>
      </c>
      <c r="J9" s="21">
        <v>10.5</v>
      </c>
      <c r="K9" s="4"/>
      <c r="L9" s="4">
        <v>3</v>
      </c>
      <c r="M9" s="32">
        <f t="shared" si="0"/>
        <v>5.6835148874364556</v>
      </c>
      <c r="N9" s="32">
        <f t="shared" si="1"/>
        <v>5.1491103848946986</v>
      </c>
      <c r="O9" s="32">
        <f t="shared" si="2"/>
        <v>5.0395061728395065</v>
      </c>
      <c r="P9" s="32">
        <f t="shared" si="3"/>
        <v>4.825980392156862</v>
      </c>
      <c r="Q9" s="22">
        <f t="shared" si="4"/>
        <v>5.17452795933188</v>
      </c>
      <c r="R9" s="4"/>
      <c r="S9" s="4">
        <v>3</v>
      </c>
      <c r="T9" s="19">
        <f t="shared" si="5"/>
        <v>87.2</v>
      </c>
      <c r="U9" s="19">
        <f t="shared" si="6"/>
        <v>87.4</v>
      </c>
      <c r="V9" s="19">
        <f t="shared" si="7"/>
        <v>88.4</v>
      </c>
      <c r="W9" s="19">
        <f t="shared" si="8"/>
        <v>89.5</v>
      </c>
      <c r="X9" s="11"/>
      <c r="Y9" s="11"/>
    </row>
    <row r="10" spans="1:25" ht="14.5" x14ac:dyDescent="0.35">
      <c r="A10" s="4"/>
      <c r="B10" s="4">
        <v>4</v>
      </c>
      <c r="C10" s="19">
        <v>7.82</v>
      </c>
      <c r="D10" s="19">
        <v>12.6</v>
      </c>
      <c r="E10" s="20">
        <v>7.05</v>
      </c>
      <c r="F10" s="21">
        <v>12.5</v>
      </c>
      <c r="G10" s="19">
        <v>6.39</v>
      </c>
      <c r="H10" s="19">
        <v>11.8</v>
      </c>
      <c r="I10" s="20">
        <v>6.33</v>
      </c>
      <c r="J10" s="21">
        <v>12.5</v>
      </c>
      <c r="K10" s="4"/>
      <c r="L10" s="4">
        <v>4</v>
      </c>
      <c r="M10" s="32">
        <f t="shared" si="0"/>
        <v>6.2043209876543219</v>
      </c>
      <c r="N10" s="32">
        <f t="shared" si="1"/>
        <v>5.5998093681917211</v>
      </c>
      <c r="O10" s="32">
        <f t="shared" si="2"/>
        <v>5.1161764705882344</v>
      </c>
      <c r="P10" s="32">
        <f t="shared" si="3"/>
        <v>5.0279139433551201</v>
      </c>
      <c r="Q10" s="22">
        <f t="shared" si="4"/>
        <v>5.4870551924473494</v>
      </c>
      <c r="R10" s="4"/>
      <c r="S10" s="4">
        <v>4</v>
      </c>
      <c r="T10" s="19">
        <f t="shared" si="5"/>
        <v>87.4</v>
      </c>
      <c r="U10" s="19">
        <f t="shared" si="6"/>
        <v>87.5</v>
      </c>
      <c r="V10" s="19">
        <f t="shared" si="7"/>
        <v>88.2</v>
      </c>
      <c r="W10" s="19">
        <f t="shared" si="8"/>
        <v>87.5</v>
      </c>
      <c r="X10" s="11"/>
      <c r="Y10" s="11"/>
    </row>
    <row r="11" spans="1:25" ht="14.5" x14ac:dyDescent="0.35">
      <c r="A11" s="4"/>
      <c r="B11" s="4">
        <v>5</v>
      </c>
      <c r="C11" s="19">
        <v>7.45</v>
      </c>
      <c r="D11" s="19">
        <v>12.7</v>
      </c>
      <c r="E11" s="20">
        <v>7.39</v>
      </c>
      <c r="F11" s="21">
        <v>12.8</v>
      </c>
      <c r="G11" s="19">
        <v>6.95</v>
      </c>
      <c r="H11" s="19">
        <v>12.3</v>
      </c>
      <c r="I11" s="20">
        <v>7</v>
      </c>
      <c r="J11" s="21">
        <v>12.1</v>
      </c>
      <c r="K11" s="4"/>
      <c r="L11" s="4">
        <v>5</v>
      </c>
      <c r="M11" s="32">
        <f t="shared" si="0"/>
        <v>5.9040032679738559</v>
      </c>
      <c r="N11" s="32">
        <f t="shared" si="1"/>
        <v>5.8497458242556277</v>
      </c>
      <c r="O11" s="32">
        <f t="shared" si="2"/>
        <v>5.5329974582425558</v>
      </c>
      <c r="P11" s="32">
        <f t="shared" si="3"/>
        <v>5.5855119825708055</v>
      </c>
      <c r="Q11" s="22">
        <f t="shared" si="4"/>
        <v>5.7180646332607115</v>
      </c>
      <c r="R11" s="4"/>
      <c r="S11" s="4">
        <v>5</v>
      </c>
      <c r="T11" s="19">
        <f t="shared" si="5"/>
        <v>87.3</v>
      </c>
      <c r="U11" s="19">
        <f t="shared" si="6"/>
        <v>87.2</v>
      </c>
      <c r="V11" s="19">
        <f t="shared" si="7"/>
        <v>87.7</v>
      </c>
      <c r="W11" s="19">
        <f t="shared" si="8"/>
        <v>87.9</v>
      </c>
      <c r="X11" s="11"/>
      <c r="Y11" s="11"/>
    </row>
    <row r="12" spans="1:25" ht="14.5" x14ac:dyDescent="0.35">
      <c r="A12" s="14" t="s">
        <v>508</v>
      </c>
      <c r="B12" s="4">
        <v>6</v>
      </c>
      <c r="C12" s="19">
        <v>7.68</v>
      </c>
      <c r="D12" s="19">
        <v>12.5</v>
      </c>
      <c r="E12" s="20">
        <v>7.4</v>
      </c>
      <c r="F12" s="21">
        <v>12.4</v>
      </c>
      <c r="G12" s="19">
        <v>7.19</v>
      </c>
      <c r="H12" s="19">
        <v>11.5</v>
      </c>
      <c r="I12" s="20">
        <v>6.42</v>
      </c>
      <c r="J12" s="21">
        <v>11.7</v>
      </c>
      <c r="K12" s="14" t="s">
        <v>508</v>
      </c>
      <c r="L12" s="4">
        <v>6</v>
      </c>
      <c r="M12" s="32">
        <f t="shared" si="0"/>
        <v>6.1002178649237475</v>
      </c>
      <c r="N12" s="32">
        <f t="shared" si="1"/>
        <v>5.8845315904139426</v>
      </c>
      <c r="O12" s="32">
        <f t="shared" si="2"/>
        <v>5.7762799564270146</v>
      </c>
      <c r="P12" s="32">
        <f t="shared" si="3"/>
        <v>5.1460239651416115</v>
      </c>
      <c r="Q12" s="22">
        <f t="shared" si="4"/>
        <v>5.7267633442265788</v>
      </c>
      <c r="R12" s="14" t="s">
        <v>508</v>
      </c>
      <c r="S12" s="4">
        <v>6</v>
      </c>
      <c r="T12" s="19">
        <f t="shared" si="5"/>
        <v>87.5</v>
      </c>
      <c r="U12" s="19">
        <f t="shared" si="6"/>
        <v>87.6</v>
      </c>
      <c r="V12" s="19">
        <f t="shared" si="7"/>
        <v>88.5</v>
      </c>
      <c r="W12" s="19">
        <f t="shared" si="8"/>
        <v>88.3</v>
      </c>
      <c r="X12" s="11"/>
      <c r="Y12" s="11"/>
    </row>
    <row r="13" spans="1:25" ht="14.5" x14ac:dyDescent="0.35">
      <c r="A13" s="4" t="s">
        <v>509</v>
      </c>
      <c r="B13" s="4">
        <v>7</v>
      </c>
      <c r="C13" s="19">
        <v>7.83</v>
      </c>
      <c r="D13" s="19">
        <v>12.7</v>
      </c>
      <c r="E13" s="20">
        <v>7.55</v>
      </c>
      <c r="F13" s="21">
        <v>12.7</v>
      </c>
      <c r="G13" s="19">
        <v>9.69</v>
      </c>
      <c r="H13" s="19">
        <v>11.6</v>
      </c>
      <c r="I13" s="20">
        <v>6.27</v>
      </c>
      <c r="J13" s="21">
        <v>11.9</v>
      </c>
      <c r="K13" s="4" t="s">
        <v>509</v>
      </c>
      <c r="L13" s="4">
        <v>7</v>
      </c>
      <c r="M13" s="32">
        <f t="shared" si="0"/>
        <v>6.2051470588235293</v>
      </c>
      <c r="N13" s="32">
        <f t="shared" si="1"/>
        <v>5.9832516339869279</v>
      </c>
      <c r="O13" s="32">
        <f t="shared" si="2"/>
        <v>7.7759259259259261</v>
      </c>
      <c r="P13" s="32">
        <f t="shared" si="3"/>
        <v>5.0144063180827878</v>
      </c>
      <c r="Q13" s="22">
        <f t="shared" si="4"/>
        <v>6.244682734204793</v>
      </c>
      <c r="R13" s="4" t="s">
        <v>509</v>
      </c>
      <c r="S13" s="4">
        <v>7</v>
      </c>
      <c r="T13" s="19">
        <f t="shared" si="5"/>
        <v>87.3</v>
      </c>
      <c r="U13" s="19">
        <f t="shared" si="6"/>
        <v>87.3</v>
      </c>
      <c r="V13" s="19">
        <f t="shared" si="7"/>
        <v>88.4</v>
      </c>
      <c r="W13" s="19">
        <f t="shared" si="8"/>
        <v>88.1</v>
      </c>
      <c r="X13" s="11"/>
      <c r="Y13" s="11"/>
    </row>
    <row r="14" spans="1:25" ht="14.5" x14ac:dyDescent="0.35">
      <c r="A14" s="4"/>
      <c r="B14" s="4">
        <v>8</v>
      </c>
      <c r="C14" s="19">
        <v>7.2</v>
      </c>
      <c r="D14" s="19">
        <v>12.9</v>
      </c>
      <c r="E14" s="20">
        <v>6.42</v>
      </c>
      <c r="F14" s="21">
        <v>12.8</v>
      </c>
      <c r="G14" s="19">
        <v>6.29</v>
      </c>
      <c r="H14" s="19">
        <v>13.4</v>
      </c>
      <c r="I14" s="20">
        <v>6.2</v>
      </c>
      <c r="J14" s="21">
        <v>11.9</v>
      </c>
      <c r="K14" s="4"/>
      <c r="L14" s="4">
        <v>8</v>
      </c>
      <c r="M14" s="32">
        <f t="shared" si="0"/>
        <v>5.6928104575163392</v>
      </c>
      <c r="N14" s="32">
        <f t="shared" si="1"/>
        <v>5.0819172113289754</v>
      </c>
      <c r="O14" s="32">
        <f t="shared" si="2"/>
        <v>4.9447530864197526</v>
      </c>
      <c r="P14" s="32">
        <f t="shared" si="3"/>
        <v>4.9584241103848949</v>
      </c>
      <c r="Q14" s="22">
        <f t="shared" si="4"/>
        <v>5.169476216412491</v>
      </c>
      <c r="R14" s="4"/>
      <c r="S14" s="4">
        <v>8</v>
      </c>
      <c r="T14" s="19">
        <f t="shared" si="5"/>
        <v>87.1</v>
      </c>
      <c r="U14" s="19">
        <f t="shared" si="6"/>
        <v>87.2</v>
      </c>
      <c r="V14" s="19">
        <f t="shared" si="7"/>
        <v>86.6</v>
      </c>
      <c r="W14" s="19">
        <f t="shared" si="8"/>
        <v>88.1</v>
      </c>
      <c r="X14" s="11"/>
      <c r="Y14" s="11"/>
    </row>
    <row r="15" spans="1:25" ht="14.5" x14ac:dyDescent="0.35">
      <c r="A15" s="4"/>
      <c r="B15" s="4">
        <v>9</v>
      </c>
      <c r="C15" s="19">
        <v>8.1999999999999993</v>
      </c>
      <c r="D15" s="19">
        <v>12.7</v>
      </c>
      <c r="E15" s="20">
        <v>8.1199999999999992</v>
      </c>
      <c r="F15" s="21">
        <v>12.9</v>
      </c>
      <c r="G15" s="19">
        <v>8.19</v>
      </c>
      <c r="H15" s="19">
        <v>11.9</v>
      </c>
      <c r="I15" s="20">
        <v>8</v>
      </c>
      <c r="J15" s="21">
        <v>12.2</v>
      </c>
      <c r="K15" s="4"/>
      <c r="L15" s="4">
        <v>9</v>
      </c>
      <c r="M15" s="32">
        <f t="shared" si="0"/>
        <v>6.4983660130718937</v>
      </c>
      <c r="N15" s="32">
        <f t="shared" si="1"/>
        <v>6.4202251270878712</v>
      </c>
      <c r="O15" s="32">
        <f t="shared" si="2"/>
        <v>6.5499183006535935</v>
      </c>
      <c r="P15" s="32">
        <f t="shared" si="3"/>
        <v>6.3761801016702977</v>
      </c>
      <c r="Q15" s="22">
        <f t="shared" si="4"/>
        <v>6.4611723856209142</v>
      </c>
      <c r="R15" s="4"/>
      <c r="S15" s="4">
        <v>9</v>
      </c>
      <c r="T15" s="19">
        <f t="shared" si="5"/>
        <v>87.3</v>
      </c>
      <c r="U15" s="19">
        <f t="shared" si="6"/>
        <v>87.1</v>
      </c>
      <c r="V15" s="19">
        <f t="shared" si="7"/>
        <v>88.1</v>
      </c>
      <c r="W15" s="19">
        <f t="shared" si="8"/>
        <v>87.8</v>
      </c>
      <c r="X15" s="11"/>
      <c r="Y15" s="11"/>
    </row>
    <row r="16" spans="1:25" ht="14.5" x14ac:dyDescent="0.35">
      <c r="A16" s="4"/>
      <c r="B16" s="4">
        <v>10</v>
      </c>
      <c r="C16" s="19">
        <v>7.58</v>
      </c>
      <c r="D16" s="19">
        <v>11</v>
      </c>
      <c r="E16" s="20">
        <v>7.2</v>
      </c>
      <c r="F16" s="21">
        <v>12.3</v>
      </c>
      <c r="G16" s="19">
        <v>7.61</v>
      </c>
      <c r="H16" s="19">
        <v>10.5</v>
      </c>
      <c r="I16" s="20">
        <v>6.89</v>
      </c>
      <c r="J16" s="21">
        <v>11.3</v>
      </c>
      <c r="K16" s="4"/>
      <c r="L16" s="4">
        <v>10</v>
      </c>
      <c r="M16" s="32">
        <f t="shared" si="0"/>
        <v>6.1240014524328243</v>
      </c>
      <c r="N16" s="32">
        <f t="shared" si="1"/>
        <v>5.7320261437908488</v>
      </c>
      <c r="O16" s="32">
        <f t="shared" si="2"/>
        <v>6.1827795933188074</v>
      </c>
      <c r="P16" s="32">
        <f t="shared" si="3"/>
        <v>5.547775962236746</v>
      </c>
      <c r="Q16" s="22">
        <f t="shared" si="4"/>
        <v>5.8966457879448066</v>
      </c>
      <c r="R16" s="4"/>
      <c r="S16" s="4">
        <v>10</v>
      </c>
      <c r="T16" s="19">
        <f t="shared" si="5"/>
        <v>89</v>
      </c>
      <c r="U16" s="19">
        <f t="shared" si="6"/>
        <v>87.7</v>
      </c>
      <c r="V16" s="19">
        <f t="shared" si="7"/>
        <v>89.5</v>
      </c>
      <c r="W16" s="19">
        <f t="shared" si="8"/>
        <v>88.7</v>
      </c>
      <c r="X16" s="11"/>
      <c r="Y16" s="11"/>
    </row>
    <row r="17" spans="1:25" ht="14.5" x14ac:dyDescent="0.35">
      <c r="A17" s="4"/>
      <c r="B17" s="4">
        <v>11</v>
      </c>
      <c r="C17" s="19">
        <v>7.32</v>
      </c>
      <c r="D17" s="19">
        <v>12.8</v>
      </c>
      <c r="E17" s="20">
        <v>7.4</v>
      </c>
      <c r="F17" s="21">
        <v>13</v>
      </c>
      <c r="G17" s="19">
        <v>7.08</v>
      </c>
      <c r="H17" s="19">
        <v>12.5</v>
      </c>
      <c r="I17" s="20">
        <v>6.72</v>
      </c>
      <c r="J17" s="21">
        <v>13</v>
      </c>
      <c r="K17" s="4"/>
      <c r="L17" s="4">
        <v>11</v>
      </c>
      <c r="M17" s="32">
        <f t="shared" si="0"/>
        <v>5.7943355119825712</v>
      </c>
      <c r="N17" s="32">
        <f t="shared" si="1"/>
        <v>5.8442265795206971</v>
      </c>
      <c r="O17" s="32">
        <f t="shared" si="2"/>
        <v>5.6236383442265794</v>
      </c>
      <c r="P17" s="32">
        <f t="shared" si="3"/>
        <v>5.307189542483659</v>
      </c>
      <c r="Q17" s="22">
        <f t="shared" si="4"/>
        <v>5.642347494553376</v>
      </c>
      <c r="R17" s="4"/>
      <c r="S17" s="4">
        <v>11</v>
      </c>
      <c r="T17" s="19">
        <f t="shared" si="5"/>
        <v>87.2</v>
      </c>
      <c r="U17" s="19">
        <f t="shared" si="6"/>
        <v>87</v>
      </c>
      <c r="V17" s="19">
        <f t="shared" si="7"/>
        <v>87.5</v>
      </c>
      <c r="W17" s="19">
        <f t="shared" si="8"/>
        <v>87</v>
      </c>
      <c r="X17" s="11"/>
      <c r="Y17" s="11"/>
    </row>
    <row r="18" spans="1:25" ht="14.5" x14ac:dyDescent="0.35">
      <c r="A18" s="4"/>
      <c r="B18" s="4">
        <v>12</v>
      </c>
      <c r="C18" s="19">
        <v>7.16</v>
      </c>
      <c r="D18" s="19">
        <v>12.6</v>
      </c>
      <c r="E18" s="20">
        <v>6.81</v>
      </c>
      <c r="F18" s="21">
        <v>12.1</v>
      </c>
      <c r="G18" s="19">
        <v>7.22</v>
      </c>
      <c r="H18" s="19">
        <v>12.3</v>
      </c>
      <c r="I18" s="20">
        <v>6.65</v>
      </c>
      <c r="J18" s="21">
        <v>11.6</v>
      </c>
      <c r="K18" s="4"/>
      <c r="L18" s="4">
        <v>12</v>
      </c>
      <c r="M18" s="32">
        <f t="shared" si="0"/>
        <v>5.6806826434277422</v>
      </c>
      <c r="N18" s="32">
        <f t="shared" si="1"/>
        <v>5.4339052287581699</v>
      </c>
      <c r="O18" s="32">
        <f t="shared" si="2"/>
        <v>5.7479484386347126</v>
      </c>
      <c r="P18" s="32">
        <f t="shared" si="3"/>
        <v>5.3364197530864201</v>
      </c>
      <c r="Q18" s="22">
        <f t="shared" si="4"/>
        <v>5.549739015976761</v>
      </c>
      <c r="R18" s="4"/>
      <c r="S18" s="4">
        <v>12</v>
      </c>
      <c r="T18" s="19">
        <f t="shared" si="5"/>
        <v>87.4</v>
      </c>
      <c r="U18" s="19">
        <f t="shared" si="6"/>
        <v>87.9</v>
      </c>
      <c r="V18" s="19">
        <f t="shared" si="7"/>
        <v>87.7</v>
      </c>
      <c r="W18" s="19">
        <f t="shared" si="8"/>
        <v>88.4</v>
      </c>
      <c r="X18" s="11"/>
      <c r="Y18" s="11"/>
    </row>
    <row r="19" spans="1:25" ht="14.5" x14ac:dyDescent="0.35">
      <c r="A19" s="4"/>
      <c r="B19" s="4">
        <v>13</v>
      </c>
      <c r="C19" s="19">
        <v>6.6</v>
      </c>
      <c r="D19" s="19">
        <v>12.1</v>
      </c>
      <c r="E19" s="20">
        <v>6.23</v>
      </c>
      <c r="F19" s="21">
        <v>11.9</v>
      </c>
      <c r="G19" s="19">
        <v>6.26</v>
      </c>
      <c r="H19" s="19">
        <v>11.6</v>
      </c>
      <c r="I19" s="20">
        <v>6.02</v>
      </c>
      <c r="J19" s="21">
        <v>11.7</v>
      </c>
      <c r="K19" s="4"/>
      <c r="L19" s="4">
        <v>13</v>
      </c>
      <c r="M19" s="32">
        <f t="shared" si="0"/>
        <v>5.2663398692810448</v>
      </c>
      <c r="N19" s="32">
        <f t="shared" si="1"/>
        <v>4.9824164851125632</v>
      </c>
      <c r="O19" s="32">
        <f t="shared" si="2"/>
        <v>5.0234567901234559</v>
      </c>
      <c r="P19" s="32">
        <f t="shared" si="3"/>
        <v>4.8253994190268692</v>
      </c>
      <c r="Q19" s="22">
        <f t="shared" si="4"/>
        <v>5.0244031408859833</v>
      </c>
      <c r="R19" s="4"/>
      <c r="S19" s="4">
        <v>13</v>
      </c>
      <c r="T19" s="19">
        <f t="shared" si="5"/>
        <v>87.9</v>
      </c>
      <c r="U19" s="19">
        <f t="shared" si="6"/>
        <v>88.1</v>
      </c>
      <c r="V19" s="19">
        <f t="shared" si="7"/>
        <v>88.4</v>
      </c>
      <c r="W19" s="19">
        <f t="shared" si="8"/>
        <v>88.3</v>
      </c>
      <c r="X19" s="11"/>
      <c r="Y19" s="11"/>
    </row>
    <row r="20" spans="1:25" ht="14.5" x14ac:dyDescent="0.35">
      <c r="A20" s="4"/>
      <c r="B20" s="4">
        <v>14</v>
      </c>
      <c r="C20" s="19">
        <v>6.92</v>
      </c>
      <c r="D20" s="19">
        <v>11.1</v>
      </c>
      <c r="E20" s="20">
        <v>7.6</v>
      </c>
      <c r="F20" s="21">
        <v>12.4</v>
      </c>
      <c r="G20" s="19">
        <v>7.96</v>
      </c>
      <c r="H20" s="19">
        <v>12.1</v>
      </c>
      <c r="I20" s="20">
        <v>6.41</v>
      </c>
      <c r="J20" s="21">
        <v>11.7</v>
      </c>
      <c r="K20" s="4"/>
      <c r="L20" s="4">
        <v>14</v>
      </c>
      <c r="M20" s="32">
        <f t="shared" si="0"/>
        <v>5.5844952795933187</v>
      </c>
      <c r="N20" s="32">
        <f t="shared" si="1"/>
        <v>6.0435729847494537</v>
      </c>
      <c r="O20" s="32">
        <f t="shared" si="2"/>
        <v>6.3515250544662303</v>
      </c>
      <c r="P20" s="32">
        <f t="shared" si="3"/>
        <v>5.1380083514887431</v>
      </c>
      <c r="Q20" s="22">
        <f t="shared" si="4"/>
        <v>5.7794004175744362</v>
      </c>
      <c r="R20" s="4"/>
      <c r="S20" s="4">
        <v>14</v>
      </c>
      <c r="T20" s="19">
        <f t="shared" si="5"/>
        <v>88.9</v>
      </c>
      <c r="U20" s="19">
        <f t="shared" si="6"/>
        <v>87.6</v>
      </c>
      <c r="V20" s="19">
        <f t="shared" si="7"/>
        <v>87.9</v>
      </c>
      <c r="W20" s="19">
        <f t="shared" si="8"/>
        <v>88.3</v>
      </c>
      <c r="X20" s="11"/>
      <c r="Y20" s="11"/>
    </row>
    <row r="21" spans="1:25" ht="14.5" x14ac:dyDescent="0.35">
      <c r="A21" s="4"/>
      <c r="B21" s="4">
        <v>15</v>
      </c>
      <c r="C21" s="19">
        <v>8.15</v>
      </c>
      <c r="D21" s="19">
        <v>12.6</v>
      </c>
      <c r="E21" s="20">
        <v>8.08</v>
      </c>
      <c r="F21" s="21">
        <v>12.4</v>
      </c>
      <c r="G21" s="19">
        <v>7.14</v>
      </c>
      <c r="H21" s="19">
        <v>11.8</v>
      </c>
      <c r="I21" s="20">
        <v>6.6</v>
      </c>
      <c r="J21" s="21">
        <v>12.2</v>
      </c>
      <c r="K21" s="4"/>
      <c r="L21" s="4">
        <v>15</v>
      </c>
      <c r="M21" s="32">
        <f t="shared" si="0"/>
        <v>6.4661401597676118</v>
      </c>
      <c r="N21" s="32">
        <f t="shared" si="1"/>
        <v>6.4252723311546838</v>
      </c>
      <c r="O21" s="32">
        <f t="shared" si="2"/>
        <v>5.7166666666666668</v>
      </c>
      <c r="P21" s="32">
        <f t="shared" si="3"/>
        <v>5.2603485838779953</v>
      </c>
      <c r="Q21" s="22">
        <f t="shared" si="4"/>
        <v>5.967106935366739</v>
      </c>
      <c r="R21" s="4"/>
      <c r="S21" s="4">
        <v>15</v>
      </c>
      <c r="T21" s="19">
        <f t="shared" si="5"/>
        <v>87.4</v>
      </c>
      <c r="U21" s="19">
        <f t="shared" si="6"/>
        <v>87.6</v>
      </c>
      <c r="V21" s="19">
        <f t="shared" si="7"/>
        <v>88.2</v>
      </c>
      <c r="W21" s="19">
        <f t="shared" si="8"/>
        <v>87.8</v>
      </c>
      <c r="X21" s="11"/>
      <c r="Y21" s="11"/>
    </row>
    <row r="22" spans="1:25" ht="14.5" x14ac:dyDescent="0.35">
      <c r="A22" s="4"/>
      <c r="B22" s="4"/>
      <c r="C22" s="43" t="s">
        <v>500</v>
      </c>
      <c r="D22" s="43"/>
      <c r="E22" s="44" t="s">
        <v>501</v>
      </c>
      <c r="F22" s="45"/>
      <c r="G22" s="43" t="s">
        <v>502</v>
      </c>
      <c r="H22" s="43"/>
      <c r="I22" s="44" t="s">
        <v>503</v>
      </c>
      <c r="J22" s="45"/>
      <c r="K22" s="4"/>
      <c r="L22" s="4"/>
      <c r="M22" s="5"/>
      <c r="N22" s="5"/>
      <c r="O22" s="5"/>
      <c r="P22" s="5"/>
      <c r="Q22" s="35">
        <f>AVERAGE(Q7:Q21)</f>
        <v>5.5964347312999267</v>
      </c>
      <c r="R22" s="4"/>
      <c r="S22" s="4"/>
      <c r="T22" s="5"/>
      <c r="U22" s="5"/>
      <c r="V22" s="5"/>
      <c r="W22" s="5"/>
      <c r="X22" s="11"/>
      <c r="Y22" s="11"/>
    </row>
    <row r="23" spans="1:25" ht="14.5" x14ac:dyDescent="0.35">
      <c r="A23" s="4"/>
      <c r="B23" s="4"/>
      <c r="C23" s="23" t="s">
        <v>505</v>
      </c>
      <c r="D23" s="23" t="s">
        <v>506</v>
      </c>
      <c r="E23" s="24" t="s">
        <v>505</v>
      </c>
      <c r="F23" s="25" t="s">
        <v>506</v>
      </c>
      <c r="G23" s="23" t="s">
        <v>505</v>
      </c>
      <c r="H23" s="23" t="s">
        <v>506</v>
      </c>
      <c r="I23" s="24" t="s">
        <v>505</v>
      </c>
      <c r="J23" s="25" t="s">
        <v>506</v>
      </c>
      <c r="K23" s="4"/>
      <c r="L23" s="4"/>
      <c r="M23" s="4" t="s">
        <v>500</v>
      </c>
      <c r="N23" s="4" t="s">
        <v>501</v>
      </c>
      <c r="O23" s="4" t="s">
        <v>502</v>
      </c>
      <c r="P23" s="4" t="s">
        <v>503</v>
      </c>
      <c r="Q23" s="18" t="s">
        <v>507</v>
      </c>
      <c r="R23" s="4"/>
      <c r="S23" s="4"/>
      <c r="T23" s="4" t="s">
        <v>500</v>
      </c>
      <c r="U23" s="4" t="s">
        <v>501</v>
      </c>
      <c r="V23" s="4" t="s">
        <v>502</v>
      </c>
      <c r="W23" s="4" t="s">
        <v>503</v>
      </c>
      <c r="X23" s="11"/>
      <c r="Y23" s="11"/>
    </row>
    <row r="24" spans="1:25" ht="14.5" x14ac:dyDescent="0.35">
      <c r="A24" s="4"/>
      <c r="B24" s="4">
        <v>1</v>
      </c>
      <c r="C24" s="19">
        <v>5.7</v>
      </c>
      <c r="D24" s="19">
        <v>13</v>
      </c>
      <c r="E24" s="20">
        <v>5.87</v>
      </c>
      <c r="F24" s="21">
        <v>11.6</v>
      </c>
      <c r="G24" s="19">
        <v>5.47</v>
      </c>
      <c r="H24" s="19">
        <v>11.5</v>
      </c>
      <c r="I24" s="20">
        <v>5.72</v>
      </c>
      <c r="J24" s="21">
        <v>11.5</v>
      </c>
      <c r="K24" s="4"/>
      <c r="L24" s="4">
        <v>1</v>
      </c>
      <c r="M24" s="32">
        <f>+(((C24*T24)/85)/12.96)*10</f>
        <v>4.5016339869281046</v>
      </c>
      <c r="N24" s="32">
        <f>+(((E24*U24)/85)/12.96)*10</f>
        <v>4.7104938271604935</v>
      </c>
      <c r="O24" s="32">
        <f>+(((G24*V24)/85)/12.96)*10</f>
        <v>4.3944716775599124</v>
      </c>
      <c r="P24" s="32">
        <f>+(((I24*W24)/85)/12.96)*10</f>
        <v>4.5953159041394329</v>
      </c>
      <c r="Q24" s="22">
        <f>AVERAGE(M24:P24)</f>
        <v>4.5504788489469856</v>
      </c>
      <c r="R24" s="4"/>
      <c r="S24" s="4">
        <v>1</v>
      </c>
      <c r="T24" s="19">
        <f>+(100-D24)</f>
        <v>87</v>
      </c>
      <c r="U24" s="19">
        <f>+(100-F24)</f>
        <v>88.4</v>
      </c>
      <c r="V24" s="19">
        <f>+(100-H24)</f>
        <v>88.5</v>
      </c>
      <c r="W24" s="19">
        <f>+(100-J24)</f>
        <v>88.5</v>
      </c>
      <c r="X24" s="11"/>
      <c r="Y24" s="11"/>
    </row>
    <row r="25" spans="1:25" ht="14.5" x14ac:dyDescent="0.35">
      <c r="A25" s="4"/>
      <c r="B25" s="4">
        <v>2</v>
      </c>
      <c r="C25" s="19">
        <v>10.5</v>
      </c>
      <c r="D25" s="19">
        <v>13.5</v>
      </c>
      <c r="E25" s="20">
        <v>9.34</v>
      </c>
      <c r="F25" s="21">
        <v>13.6</v>
      </c>
      <c r="G25" s="19">
        <v>9.81</v>
      </c>
      <c r="H25" s="19">
        <v>12.4</v>
      </c>
      <c r="I25" s="20">
        <v>9.4600000000000009</v>
      </c>
      <c r="J25" s="21">
        <v>12.2</v>
      </c>
      <c r="K25" s="4"/>
      <c r="L25" s="4">
        <v>2</v>
      </c>
      <c r="M25" s="32">
        <f t="shared" ref="M25:M38" si="9">+(((C25*T25)/85)/12.96)*10</f>
        <v>8.2448257080610023</v>
      </c>
      <c r="N25" s="32">
        <f t="shared" ref="N25:N38" si="10">+(((E25*U25)/85)/12.96)*10</f>
        <v>7.3254901960784302</v>
      </c>
      <c r="O25" s="32">
        <f t="shared" ref="O25:O38" si="11">+(((G25*V25)/85)/12.96)*10</f>
        <v>7.8009803921568626</v>
      </c>
      <c r="P25" s="32">
        <f t="shared" ref="P25:P38" si="12">+(((I25*W25)/85)/12.96)*10</f>
        <v>7.5398329702251274</v>
      </c>
      <c r="Q25" s="22">
        <f t="shared" ref="Q25:Q38" si="13">AVERAGE(M25:P25)</f>
        <v>7.7277823166303552</v>
      </c>
      <c r="R25" s="4"/>
      <c r="S25" s="4">
        <v>2</v>
      </c>
      <c r="T25" s="19">
        <f t="shared" ref="T25:T38" si="14">+(100-D25)</f>
        <v>86.5</v>
      </c>
      <c r="U25" s="19">
        <f t="shared" ref="U25:U38" si="15">+(100-F25)</f>
        <v>86.4</v>
      </c>
      <c r="V25" s="19">
        <f t="shared" ref="V25:V38" si="16">+(100-H25)</f>
        <v>87.6</v>
      </c>
      <c r="W25" s="19">
        <f t="shared" ref="W25:W38" si="17">+(100-J25)</f>
        <v>87.8</v>
      </c>
      <c r="X25" s="11"/>
      <c r="Y25" s="11"/>
    </row>
    <row r="26" spans="1:25" ht="14.5" x14ac:dyDescent="0.35">
      <c r="A26" s="4"/>
      <c r="B26" s="4">
        <v>3</v>
      </c>
      <c r="C26" s="19">
        <v>8.26</v>
      </c>
      <c r="D26" s="19">
        <v>12.6</v>
      </c>
      <c r="E26" s="20">
        <v>8</v>
      </c>
      <c r="F26" s="21">
        <v>12.4</v>
      </c>
      <c r="G26" s="19">
        <v>7.46</v>
      </c>
      <c r="H26" s="19">
        <v>11.7</v>
      </c>
      <c r="I26" s="20">
        <v>8.1300000000000008</v>
      </c>
      <c r="J26" s="21">
        <v>11.5</v>
      </c>
      <c r="K26" s="4"/>
      <c r="L26" s="4">
        <v>3</v>
      </c>
      <c r="M26" s="32">
        <f t="shared" si="9"/>
        <v>6.5534132171387069</v>
      </c>
      <c r="N26" s="32">
        <f t="shared" si="10"/>
        <v>6.3616557734204786</v>
      </c>
      <c r="O26" s="32">
        <f t="shared" si="11"/>
        <v>5.9796477850399405</v>
      </c>
      <c r="P26" s="32">
        <f t="shared" si="12"/>
        <v>6.5314542483660132</v>
      </c>
      <c r="Q26" s="22">
        <f t="shared" si="13"/>
        <v>6.3565427559912848</v>
      </c>
      <c r="R26" s="4"/>
      <c r="S26" s="4">
        <v>3</v>
      </c>
      <c r="T26" s="19">
        <f t="shared" si="14"/>
        <v>87.4</v>
      </c>
      <c r="U26" s="19">
        <f t="shared" si="15"/>
        <v>87.6</v>
      </c>
      <c r="V26" s="19">
        <f t="shared" si="16"/>
        <v>88.3</v>
      </c>
      <c r="W26" s="19">
        <f t="shared" si="17"/>
        <v>88.5</v>
      </c>
      <c r="X26" s="11"/>
      <c r="Y26" s="11"/>
    </row>
    <row r="27" spans="1:25" ht="14.5" x14ac:dyDescent="0.35">
      <c r="A27" s="4"/>
      <c r="B27" s="4">
        <v>4</v>
      </c>
      <c r="C27" s="19">
        <v>9.32</v>
      </c>
      <c r="D27" s="19">
        <v>12.8</v>
      </c>
      <c r="E27" s="20">
        <v>8.98</v>
      </c>
      <c r="F27" s="21">
        <v>12.3</v>
      </c>
      <c r="G27" s="19">
        <v>8.6</v>
      </c>
      <c r="H27" s="19">
        <v>11.6</v>
      </c>
      <c r="I27" s="20">
        <v>8.4600000000000009</v>
      </c>
      <c r="J27" s="21">
        <v>12.1</v>
      </c>
      <c r="K27" s="4"/>
      <c r="L27" s="4">
        <v>4</v>
      </c>
      <c r="M27" s="32">
        <f t="shared" si="9"/>
        <v>7.3774872912127822</v>
      </c>
      <c r="N27" s="32">
        <f t="shared" si="10"/>
        <v>7.1491103848946977</v>
      </c>
      <c r="O27" s="32">
        <f t="shared" si="11"/>
        <v>6.9012345679012341</v>
      </c>
      <c r="P27" s="32">
        <f t="shared" si="12"/>
        <v>6.7504901960784309</v>
      </c>
      <c r="Q27" s="22">
        <f t="shared" si="13"/>
        <v>7.0445806100217858</v>
      </c>
      <c r="R27" s="4"/>
      <c r="S27" s="4">
        <v>4</v>
      </c>
      <c r="T27" s="19">
        <f t="shared" si="14"/>
        <v>87.2</v>
      </c>
      <c r="U27" s="19">
        <f t="shared" si="15"/>
        <v>87.7</v>
      </c>
      <c r="V27" s="19">
        <f t="shared" si="16"/>
        <v>88.4</v>
      </c>
      <c r="W27" s="19">
        <f t="shared" si="17"/>
        <v>87.9</v>
      </c>
      <c r="X27" s="11"/>
      <c r="Y27" s="11"/>
    </row>
    <row r="28" spans="1:25" ht="14.5" x14ac:dyDescent="0.35">
      <c r="A28" s="4"/>
      <c r="B28" s="4">
        <v>5</v>
      </c>
      <c r="C28" s="19">
        <v>9.69</v>
      </c>
      <c r="D28" s="19">
        <v>13</v>
      </c>
      <c r="E28" s="20">
        <v>9.39</v>
      </c>
      <c r="F28" s="21">
        <v>12.9</v>
      </c>
      <c r="G28" s="19">
        <v>8.3000000000000007</v>
      </c>
      <c r="H28" s="19">
        <v>11.1</v>
      </c>
      <c r="I28" s="20">
        <v>9.7100000000000009</v>
      </c>
      <c r="J28" s="21">
        <v>12</v>
      </c>
      <c r="K28" s="4"/>
      <c r="L28" s="4">
        <v>5</v>
      </c>
      <c r="M28" s="32">
        <f t="shared" si="9"/>
        <v>7.6527777777777768</v>
      </c>
      <c r="N28" s="32">
        <f t="shared" si="10"/>
        <v>7.4243736383442274</v>
      </c>
      <c r="O28" s="32">
        <f t="shared" si="11"/>
        <v>6.6981663035584615</v>
      </c>
      <c r="P28" s="32">
        <f t="shared" si="12"/>
        <v>7.7567175018155412</v>
      </c>
      <c r="Q28" s="22">
        <f t="shared" si="13"/>
        <v>7.3830088053740015</v>
      </c>
      <c r="R28" s="4"/>
      <c r="S28" s="4">
        <v>5</v>
      </c>
      <c r="T28" s="19">
        <f t="shared" si="14"/>
        <v>87</v>
      </c>
      <c r="U28" s="19">
        <f t="shared" si="15"/>
        <v>87.1</v>
      </c>
      <c r="V28" s="19">
        <f t="shared" si="16"/>
        <v>88.9</v>
      </c>
      <c r="W28" s="19">
        <f t="shared" si="17"/>
        <v>88</v>
      </c>
      <c r="X28" s="11"/>
      <c r="Y28" s="11"/>
    </row>
    <row r="29" spans="1:25" ht="14.5" x14ac:dyDescent="0.35">
      <c r="A29" s="14" t="s">
        <v>510</v>
      </c>
      <c r="B29" s="4">
        <v>6</v>
      </c>
      <c r="C29" s="19">
        <v>9.59</v>
      </c>
      <c r="D29" s="19">
        <v>12.6</v>
      </c>
      <c r="E29" s="20">
        <v>9.1999999999999993</v>
      </c>
      <c r="F29" s="21">
        <v>12.4</v>
      </c>
      <c r="G29" s="19">
        <v>9.39</v>
      </c>
      <c r="H29" s="19">
        <v>11.6</v>
      </c>
      <c r="I29" s="20">
        <v>7.79</v>
      </c>
      <c r="J29" s="21">
        <v>11.7</v>
      </c>
      <c r="K29" s="14" t="s">
        <v>510</v>
      </c>
      <c r="L29" s="4">
        <v>6</v>
      </c>
      <c r="M29" s="32">
        <f t="shared" si="9"/>
        <v>7.6086238198983303</v>
      </c>
      <c r="N29" s="32">
        <f t="shared" si="10"/>
        <v>7.3159041394335489</v>
      </c>
      <c r="O29" s="32">
        <f t="shared" si="11"/>
        <v>7.5351851851851857</v>
      </c>
      <c r="P29" s="32">
        <f t="shared" si="12"/>
        <v>6.2441630355846032</v>
      </c>
      <c r="Q29" s="22">
        <f t="shared" si="13"/>
        <v>7.1759690450254165</v>
      </c>
      <c r="R29" s="14" t="s">
        <v>510</v>
      </c>
      <c r="S29" s="4">
        <v>6</v>
      </c>
      <c r="T29" s="19">
        <f t="shared" si="14"/>
        <v>87.4</v>
      </c>
      <c r="U29" s="19">
        <f t="shared" si="15"/>
        <v>87.6</v>
      </c>
      <c r="V29" s="19">
        <f t="shared" si="16"/>
        <v>88.4</v>
      </c>
      <c r="W29" s="19">
        <f t="shared" si="17"/>
        <v>88.3</v>
      </c>
      <c r="X29" s="11"/>
      <c r="Y29" s="11"/>
    </row>
    <row r="30" spans="1:25" ht="14.5" x14ac:dyDescent="0.35">
      <c r="A30" s="4" t="s">
        <v>511</v>
      </c>
      <c r="B30" s="4">
        <v>7</v>
      </c>
      <c r="C30" s="19">
        <v>10.1</v>
      </c>
      <c r="D30" s="19">
        <v>12.6</v>
      </c>
      <c r="E30" s="20">
        <v>10.1</v>
      </c>
      <c r="F30" s="21">
        <v>12.5</v>
      </c>
      <c r="G30" s="19">
        <v>10.7</v>
      </c>
      <c r="H30" s="19">
        <v>11.8</v>
      </c>
      <c r="I30" s="20">
        <v>9.09</v>
      </c>
      <c r="J30" s="21">
        <v>11.8</v>
      </c>
      <c r="K30" s="4" t="s">
        <v>511</v>
      </c>
      <c r="L30" s="4">
        <v>7</v>
      </c>
      <c r="M30" s="32">
        <f t="shared" si="9"/>
        <v>8.0132534495279586</v>
      </c>
      <c r="N30" s="32">
        <f t="shared" si="10"/>
        <v>8.0224219317356553</v>
      </c>
      <c r="O30" s="32">
        <f t="shared" si="11"/>
        <v>8.5669934640522865</v>
      </c>
      <c r="P30" s="32">
        <f t="shared" si="12"/>
        <v>7.2779411764705877</v>
      </c>
      <c r="Q30" s="22">
        <f t="shared" si="13"/>
        <v>7.9701525054466229</v>
      </c>
      <c r="R30" s="4" t="s">
        <v>511</v>
      </c>
      <c r="S30" s="4">
        <v>7</v>
      </c>
      <c r="T30" s="19">
        <f t="shared" si="14"/>
        <v>87.4</v>
      </c>
      <c r="U30" s="19">
        <f t="shared" si="15"/>
        <v>87.5</v>
      </c>
      <c r="V30" s="19">
        <f t="shared" si="16"/>
        <v>88.2</v>
      </c>
      <c r="W30" s="19">
        <f t="shared" si="17"/>
        <v>88.2</v>
      </c>
      <c r="X30" s="11"/>
      <c r="Y30" s="11"/>
    </row>
    <row r="31" spans="1:25" ht="14.5" x14ac:dyDescent="0.35">
      <c r="A31" s="4"/>
      <c r="B31" s="4">
        <v>8</v>
      </c>
      <c r="C31" s="19">
        <v>8.65</v>
      </c>
      <c r="D31" s="19">
        <v>12.9</v>
      </c>
      <c r="E31" s="20">
        <v>7.94</v>
      </c>
      <c r="F31" s="21">
        <v>12.7</v>
      </c>
      <c r="G31" s="19">
        <v>7.63</v>
      </c>
      <c r="H31" s="19">
        <v>12.9</v>
      </c>
      <c r="I31" s="20">
        <v>8.25</v>
      </c>
      <c r="J31" s="21">
        <v>11.9</v>
      </c>
      <c r="K31" s="4"/>
      <c r="L31" s="4">
        <v>8</v>
      </c>
      <c r="M31" s="32">
        <f t="shared" si="9"/>
        <v>6.839279230210602</v>
      </c>
      <c r="N31" s="32">
        <f t="shared" si="10"/>
        <v>6.2923202614379079</v>
      </c>
      <c r="O31" s="32">
        <f t="shared" si="11"/>
        <v>6.0327977487291209</v>
      </c>
      <c r="P31" s="32">
        <f t="shared" si="12"/>
        <v>6.5979030501089317</v>
      </c>
      <c r="Q31" s="22">
        <f t="shared" si="13"/>
        <v>6.4405750726216411</v>
      </c>
      <c r="R31" s="4"/>
      <c r="S31" s="4">
        <v>8</v>
      </c>
      <c r="T31" s="19">
        <f t="shared" si="14"/>
        <v>87.1</v>
      </c>
      <c r="U31" s="19">
        <f t="shared" si="15"/>
        <v>87.3</v>
      </c>
      <c r="V31" s="19">
        <f t="shared" si="16"/>
        <v>87.1</v>
      </c>
      <c r="W31" s="19">
        <f t="shared" si="17"/>
        <v>88.1</v>
      </c>
      <c r="X31" s="11"/>
      <c r="Y31" s="11"/>
    </row>
    <row r="32" spans="1:25" ht="14.5" x14ac:dyDescent="0.35">
      <c r="A32" s="4"/>
      <c r="B32" s="4">
        <v>9</v>
      </c>
      <c r="C32" s="19">
        <v>10.199999999999999</v>
      </c>
      <c r="D32" s="19">
        <v>12.3</v>
      </c>
      <c r="E32" s="20">
        <v>10.4</v>
      </c>
      <c r="F32" s="21">
        <v>13.2</v>
      </c>
      <c r="G32" s="19">
        <v>10.4</v>
      </c>
      <c r="H32" s="19">
        <v>12.2</v>
      </c>
      <c r="I32" s="20">
        <v>10.9</v>
      </c>
      <c r="J32" s="21">
        <v>12.6</v>
      </c>
      <c r="K32" s="4"/>
      <c r="L32" s="4">
        <v>9</v>
      </c>
      <c r="M32" s="32">
        <f t="shared" si="9"/>
        <v>8.1203703703703685</v>
      </c>
      <c r="N32" s="32">
        <f t="shared" si="10"/>
        <v>8.1946259985475667</v>
      </c>
      <c r="O32" s="32">
        <f t="shared" si="11"/>
        <v>8.2890341321713876</v>
      </c>
      <c r="P32" s="32">
        <f t="shared" si="12"/>
        <v>8.647966594045025</v>
      </c>
      <c r="Q32" s="22">
        <f t="shared" si="13"/>
        <v>8.3129992737835874</v>
      </c>
      <c r="R32" s="4"/>
      <c r="S32" s="4">
        <v>9</v>
      </c>
      <c r="T32" s="19">
        <f t="shared" si="14"/>
        <v>87.7</v>
      </c>
      <c r="U32" s="19">
        <f t="shared" si="15"/>
        <v>86.8</v>
      </c>
      <c r="V32" s="19">
        <f t="shared" si="16"/>
        <v>87.8</v>
      </c>
      <c r="W32" s="19">
        <f t="shared" si="17"/>
        <v>87.4</v>
      </c>
      <c r="X32" s="11"/>
      <c r="Y32" s="11"/>
    </row>
    <row r="33" spans="1:25" ht="14.5" x14ac:dyDescent="0.35">
      <c r="A33" s="4"/>
      <c r="B33" s="4">
        <v>10</v>
      </c>
      <c r="C33" s="19">
        <v>9.52</v>
      </c>
      <c r="D33" s="19">
        <v>12.5</v>
      </c>
      <c r="E33" s="20">
        <v>9.14</v>
      </c>
      <c r="F33" s="21">
        <v>12.2</v>
      </c>
      <c r="G33" s="19">
        <v>9.39</v>
      </c>
      <c r="H33" s="19">
        <v>11.6</v>
      </c>
      <c r="I33" s="20">
        <v>9.17</v>
      </c>
      <c r="J33" s="21">
        <v>11.3</v>
      </c>
      <c r="K33" s="4"/>
      <c r="L33" s="4">
        <v>10</v>
      </c>
      <c r="M33" s="32">
        <f t="shared" si="9"/>
        <v>7.5617283950617287</v>
      </c>
      <c r="N33" s="32">
        <f t="shared" si="10"/>
        <v>7.2847857661583149</v>
      </c>
      <c r="O33" s="32">
        <f t="shared" si="11"/>
        <v>7.5351851851851857</v>
      </c>
      <c r="P33" s="32">
        <f t="shared" si="12"/>
        <v>7.3836147421931733</v>
      </c>
      <c r="Q33" s="22">
        <f t="shared" si="13"/>
        <v>7.4413285221496004</v>
      </c>
      <c r="R33" s="4"/>
      <c r="S33" s="4">
        <v>10</v>
      </c>
      <c r="T33" s="19">
        <f t="shared" si="14"/>
        <v>87.5</v>
      </c>
      <c r="U33" s="19">
        <f t="shared" si="15"/>
        <v>87.8</v>
      </c>
      <c r="V33" s="19">
        <f t="shared" si="16"/>
        <v>88.4</v>
      </c>
      <c r="W33" s="19">
        <f t="shared" si="17"/>
        <v>88.7</v>
      </c>
      <c r="X33" s="11"/>
      <c r="Y33" s="11"/>
    </row>
    <row r="34" spans="1:25" ht="14.5" x14ac:dyDescent="0.35">
      <c r="A34" s="4"/>
      <c r="B34" s="4">
        <v>11</v>
      </c>
      <c r="C34" s="19">
        <v>10.3</v>
      </c>
      <c r="D34" s="19">
        <v>13</v>
      </c>
      <c r="E34" s="20">
        <v>9.57</v>
      </c>
      <c r="F34" s="21">
        <v>13</v>
      </c>
      <c r="G34" s="19">
        <v>9.0500000000000007</v>
      </c>
      <c r="H34" s="19">
        <v>12.3</v>
      </c>
      <c r="I34" s="20">
        <v>8.98</v>
      </c>
      <c r="J34" s="21">
        <v>12.5</v>
      </c>
      <c r="K34" s="4"/>
      <c r="L34" s="4">
        <v>11</v>
      </c>
      <c r="M34" s="32">
        <f t="shared" si="9"/>
        <v>8.1345315904139444</v>
      </c>
      <c r="N34" s="32">
        <f t="shared" si="10"/>
        <v>7.5580065359477135</v>
      </c>
      <c r="O34" s="32">
        <f t="shared" si="11"/>
        <v>7.2048384168482205</v>
      </c>
      <c r="P34" s="32">
        <f t="shared" si="12"/>
        <v>7.132806826434277</v>
      </c>
      <c r="Q34" s="22">
        <f t="shared" si="13"/>
        <v>7.5075458424110391</v>
      </c>
      <c r="R34" s="4"/>
      <c r="S34" s="4">
        <v>11</v>
      </c>
      <c r="T34" s="19">
        <f t="shared" si="14"/>
        <v>87</v>
      </c>
      <c r="U34" s="19">
        <f t="shared" si="15"/>
        <v>87</v>
      </c>
      <c r="V34" s="19">
        <f t="shared" si="16"/>
        <v>87.7</v>
      </c>
      <c r="W34" s="19">
        <f t="shared" si="17"/>
        <v>87.5</v>
      </c>
      <c r="X34" s="11"/>
      <c r="Y34" s="11"/>
    </row>
    <row r="35" spans="1:25" ht="14.5" x14ac:dyDescent="0.35">
      <c r="A35" s="4"/>
      <c r="B35" s="4">
        <v>12</v>
      </c>
      <c r="C35" s="19">
        <v>10</v>
      </c>
      <c r="D35" s="19">
        <v>12.7</v>
      </c>
      <c r="E35" s="20">
        <v>8.0299999999999994</v>
      </c>
      <c r="F35" s="21">
        <v>12.2</v>
      </c>
      <c r="G35" s="19">
        <v>9.3800000000000008</v>
      </c>
      <c r="H35" s="19">
        <v>12.1</v>
      </c>
      <c r="I35" s="20">
        <v>8.67</v>
      </c>
      <c r="J35" s="21">
        <v>11.8</v>
      </c>
      <c r="K35" s="4"/>
      <c r="L35" s="4">
        <v>12</v>
      </c>
      <c r="M35" s="32">
        <f t="shared" si="9"/>
        <v>7.9248366013071889</v>
      </c>
      <c r="N35" s="32">
        <f t="shared" si="10"/>
        <v>6.4000907770515596</v>
      </c>
      <c r="O35" s="32">
        <f t="shared" si="11"/>
        <v>7.484586056644881</v>
      </c>
      <c r="P35" s="32">
        <f t="shared" si="12"/>
        <v>6.9416666666666673</v>
      </c>
      <c r="Q35" s="22">
        <f t="shared" si="13"/>
        <v>7.1877950254175742</v>
      </c>
      <c r="R35" s="4"/>
      <c r="S35" s="4">
        <v>12</v>
      </c>
      <c r="T35" s="19">
        <f t="shared" si="14"/>
        <v>87.3</v>
      </c>
      <c r="U35" s="19">
        <f t="shared" si="15"/>
        <v>87.8</v>
      </c>
      <c r="V35" s="19">
        <f t="shared" si="16"/>
        <v>87.9</v>
      </c>
      <c r="W35" s="19">
        <f t="shared" si="17"/>
        <v>88.2</v>
      </c>
      <c r="X35" s="11"/>
      <c r="Y35" s="11"/>
    </row>
    <row r="36" spans="1:25" ht="14.5" x14ac:dyDescent="0.35">
      <c r="A36" s="4"/>
      <c r="B36" s="4">
        <v>13</v>
      </c>
      <c r="C36" s="19">
        <v>9.4499999999999993</v>
      </c>
      <c r="D36" s="19">
        <v>12.1</v>
      </c>
      <c r="E36" s="20">
        <v>7.23</v>
      </c>
      <c r="F36" s="21">
        <v>12</v>
      </c>
      <c r="G36" s="19">
        <v>7.4</v>
      </c>
      <c r="H36" s="19">
        <v>15.2</v>
      </c>
      <c r="I36" s="20">
        <v>8.14</v>
      </c>
      <c r="J36" s="21">
        <v>12</v>
      </c>
      <c r="K36" s="4"/>
      <c r="L36" s="4">
        <v>13</v>
      </c>
      <c r="M36" s="32">
        <f t="shared" si="9"/>
        <v>7.5404411764705879</v>
      </c>
      <c r="N36" s="32">
        <f t="shared" si="10"/>
        <v>5.7755991285403043</v>
      </c>
      <c r="O36" s="32">
        <f t="shared" si="11"/>
        <v>5.6964415395787942</v>
      </c>
      <c r="P36" s="32">
        <f t="shared" si="12"/>
        <v>6.5025417574437183</v>
      </c>
      <c r="Q36" s="22">
        <f t="shared" si="13"/>
        <v>6.3787559005083514</v>
      </c>
      <c r="R36" s="4"/>
      <c r="S36" s="4">
        <v>13</v>
      </c>
      <c r="T36" s="19">
        <f t="shared" si="14"/>
        <v>87.9</v>
      </c>
      <c r="U36" s="19">
        <f t="shared" si="15"/>
        <v>88</v>
      </c>
      <c r="V36" s="19">
        <f t="shared" si="16"/>
        <v>84.8</v>
      </c>
      <c r="W36" s="19">
        <f t="shared" si="17"/>
        <v>88</v>
      </c>
      <c r="X36" s="11"/>
      <c r="Y36" s="11"/>
    </row>
    <row r="37" spans="1:25" ht="14.5" x14ac:dyDescent="0.35">
      <c r="A37" s="4"/>
      <c r="B37" s="4">
        <v>14</v>
      </c>
      <c r="C37" s="19">
        <v>9.7799999999999994</v>
      </c>
      <c r="D37" s="19">
        <v>11.5</v>
      </c>
      <c r="E37" s="20">
        <v>8.3000000000000007</v>
      </c>
      <c r="F37" s="21">
        <v>12.5</v>
      </c>
      <c r="G37" s="19">
        <v>9.4499999999999993</v>
      </c>
      <c r="H37" s="19">
        <v>12.5</v>
      </c>
      <c r="I37" s="20">
        <v>8.8800000000000008</v>
      </c>
      <c r="J37" s="21">
        <v>12.5</v>
      </c>
      <c r="K37" s="4"/>
      <c r="L37" s="4">
        <v>14</v>
      </c>
      <c r="M37" s="32">
        <f t="shared" si="9"/>
        <v>7.8570261437908497</v>
      </c>
      <c r="N37" s="32">
        <f t="shared" si="10"/>
        <v>6.5926833696441545</v>
      </c>
      <c r="O37" s="32">
        <f t="shared" si="11"/>
        <v>7.506127450980391</v>
      </c>
      <c r="P37" s="32">
        <f t="shared" si="12"/>
        <v>7.0533769063180829</v>
      </c>
      <c r="Q37" s="22">
        <f t="shared" si="13"/>
        <v>7.2523034676833689</v>
      </c>
      <c r="R37" s="4"/>
      <c r="S37" s="4">
        <v>14</v>
      </c>
      <c r="T37" s="19">
        <f t="shared" si="14"/>
        <v>88.5</v>
      </c>
      <c r="U37" s="19">
        <f t="shared" si="15"/>
        <v>87.5</v>
      </c>
      <c r="V37" s="19">
        <f t="shared" si="16"/>
        <v>87.5</v>
      </c>
      <c r="W37" s="19">
        <f t="shared" si="17"/>
        <v>87.5</v>
      </c>
      <c r="X37" s="11"/>
      <c r="Y37" s="11"/>
    </row>
    <row r="38" spans="1:25" ht="14.5" x14ac:dyDescent="0.35">
      <c r="A38" s="4"/>
      <c r="B38" s="4">
        <v>15</v>
      </c>
      <c r="C38" s="19">
        <v>10.199999999999999</v>
      </c>
      <c r="D38" s="19">
        <v>12.6</v>
      </c>
      <c r="E38" s="20">
        <v>8.44</v>
      </c>
      <c r="F38" s="21">
        <v>12.5</v>
      </c>
      <c r="G38" s="19">
        <v>8.8000000000000007</v>
      </c>
      <c r="H38" s="19">
        <v>11.9</v>
      </c>
      <c r="I38" s="20">
        <v>8.51</v>
      </c>
      <c r="J38" s="21">
        <v>11.9</v>
      </c>
      <c r="K38" s="4"/>
      <c r="L38" s="4">
        <v>15</v>
      </c>
      <c r="M38" s="32">
        <f t="shared" si="9"/>
        <v>8.0925925925925917</v>
      </c>
      <c r="N38" s="32">
        <f t="shared" si="10"/>
        <v>6.7038852578068253</v>
      </c>
      <c r="O38" s="32">
        <f t="shared" si="11"/>
        <v>7.0377632534495271</v>
      </c>
      <c r="P38" s="32">
        <f t="shared" si="12"/>
        <v>6.805836964415394</v>
      </c>
      <c r="Q38" s="22">
        <f t="shared" si="13"/>
        <v>7.1600195170660843</v>
      </c>
      <c r="R38" s="4"/>
      <c r="S38" s="4">
        <v>15</v>
      </c>
      <c r="T38" s="19">
        <f t="shared" si="14"/>
        <v>87.4</v>
      </c>
      <c r="U38" s="19">
        <f t="shared" si="15"/>
        <v>87.5</v>
      </c>
      <c r="V38" s="19">
        <f t="shared" si="16"/>
        <v>88.1</v>
      </c>
      <c r="W38" s="19">
        <f t="shared" si="17"/>
        <v>88.1</v>
      </c>
      <c r="X38" s="11"/>
      <c r="Y38" s="11"/>
    </row>
    <row r="39" spans="1:25" ht="14.5" x14ac:dyDescent="0.35">
      <c r="A39" s="4"/>
      <c r="B39" s="4"/>
      <c r="C39" s="43" t="s">
        <v>500</v>
      </c>
      <c r="D39" s="43"/>
      <c r="E39" s="44" t="s">
        <v>501</v>
      </c>
      <c r="F39" s="45"/>
      <c r="G39" s="43" t="s">
        <v>502</v>
      </c>
      <c r="H39" s="43"/>
      <c r="I39" s="44" t="s">
        <v>503</v>
      </c>
      <c r="J39" s="45"/>
      <c r="K39" s="4"/>
      <c r="L39" s="4"/>
      <c r="M39" s="19"/>
      <c r="N39" s="19"/>
      <c r="O39" s="19"/>
      <c r="P39" s="19"/>
      <c r="Q39" s="35">
        <f>AVERAGE(Q24:Q38)</f>
        <v>7.0593225006051803</v>
      </c>
      <c r="R39" s="4"/>
      <c r="S39" s="4"/>
      <c r="T39" s="19"/>
      <c r="U39" s="19"/>
      <c r="V39" s="19"/>
      <c r="W39" s="19"/>
      <c r="X39" s="11"/>
      <c r="Y39" s="11"/>
    </row>
    <row r="40" spans="1:25" ht="14.5" x14ac:dyDescent="0.35">
      <c r="A40" s="4"/>
      <c r="B40" s="4"/>
      <c r="C40" s="23" t="s">
        <v>505</v>
      </c>
      <c r="D40" s="23" t="s">
        <v>506</v>
      </c>
      <c r="E40" s="24" t="s">
        <v>505</v>
      </c>
      <c r="F40" s="25" t="s">
        <v>506</v>
      </c>
      <c r="G40" s="23" t="s">
        <v>505</v>
      </c>
      <c r="H40" s="23" t="s">
        <v>506</v>
      </c>
      <c r="I40" s="24" t="s">
        <v>505</v>
      </c>
      <c r="J40" s="25" t="s">
        <v>506</v>
      </c>
      <c r="K40" s="4"/>
      <c r="L40" s="4"/>
      <c r="M40" s="4" t="s">
        <v>500</v>
      </c>
      <c r="N40" s="4" t="s">
        <v>501</v>
      </c>
      <c r="O40" s="4" t="s">
        <v>502</v>
      </c>
      <c r="P40" s="4" t="s">
        <v>503</v>
      </c>
      <c r="Q40" s="18" t="s">
        <v>507</v>
      </c>
      <c r="R40" s="4"/>
      <c r="S40" s="4"/>
      <c r="T40" s="4" t="s">
        <v>500</v>
      </c>
      <c r="U40" s="4" t="s">
        <v>501</v>
      </c>
      <c r="V40" s="4" t="s">
        <v>502</v>
      </c>
      <c r="W40" s="4" t="s">
        <v>503</v>
      </c>
      <c r="X40" s="11"/>
      <c r="Y40" s="11"/>
    </row>
    <row r="41" spans="1:25" ht="14.5" x14ac:dyDescent="0.35">
      <c r="A41" s="4"/>
      <c r="B41" s="4">
        <v>1</v>
      </c>
      <c r="C41" s="19">
        <v>5.94</v>
      </c>
      <c r="D41" s="19">
        <v>13.1</v>
      </c>
      <c r="E41" s="20">
        <v>6.01</v>
      </c>
      <c r="F41" s="21">
        <v>11.6</v>
      </c>
      <c r="G41" s="19">
        <v>5.21</v>
      </c>
      <c r="H41" s="19">
        <v>11.2</v>
      </c>
      <c r="I41" s="20">
        <v>6.13</v>
      </c>
      <c r="J41" s="21">
        <v>11</v>
      </c>
      <c r="K41" s="4"/>
      <c r="L41" s="4">
        <v>1</v>
      </c>
      <c r="M41" s="32">
        <f>+(((C41*T41)/85)/12.96)*10</f>
        <v>4.6857843137254909</v>
      </c>
      <c r="N41" s="32">
        <f>+(((E41*U41)/85)/12.96)*10</f>
        <v>4.8228395061728389</v>
      </c>
      <c r="O41" s="32">
        <f>+(((G41*V41)/85)/12.96)*10</f>
        <v>4.1997821350762523</v>
      </c>
      <c r="P41" s="32">
        <f>+(((I41*W41)/85)/12.96)*10</f>
        <v>4.9525236020334056</v>
      </c>
      <c r="Q41" s="22">
        <f>AVERAGE(M41:P41)</f>
        <v>4.6652323892519965</v>
      </c>
      <c r="R41" s="4"/>
      <c r="S41" s="4">
        <v>1</v>
      </c>
      <c r="T41" s="19">
        <f>+(100-D41)</f>
        <v>86.9</v>
      </c>
      <c r="U41" s="19">
        <f>+(100-F41)</f>
        <v>88.4</v>
      </c>
      <c r="V41" s="19">
        <f>+(100-H41)</f>
        <v>88.8</v>
      </c>
      <c r="W41" s="19">
        <f>+(100-J41)</f>
        <v>89</v>
      </c>
      <c r="X41" s="11"/>
      <c r="Y41" s="11"/>
    </row>
    <row r="42" spans="1:25" ht="14.5" x14ac:dyDescent="0.35">
      <c r="A42" s="4"/>
      <c r="B42" s="4">
        <v>2</v>
      </c>
      <c r="C42" s="19">
        <v>11</v>
      </c>
      <c r="D42" s="19">
        <v>12.5</v>
      </c>
      <c r="E42" s="20">
        <v>11.7</v>
      </c>
      <c r="F42" s="21">
        <v>12.6</v>
      </c>
      <c r="G42" s="19">
        <v>11</v>
      </c>
      <c r="H42" s="19">
        <v>11.8</v>
      </c>
      <c r="I42" s="20">
        <v>11.4</v>
      </c>
      <c r="J42" s="21">
        <v>11.6</v>
      </c>
      <c r="K42" s="4"/>
      <c r="L42" s="4">
        <v>2</v>
      </c>
      <c r="M42" s="32">
        <f t="shared" ref="M42:M55" si="18">+(((C42*T42)/85)/12.96)*10</f>
        <v>8.7372912127814075</v>
      </c>
      <c r="N42" s="32">
        <f t="shared" ref="N42:N55" si="19">+(((E42*U42)/85)/12.96)*10</f>
        <v>9.2826797385620914</v>
      </c>
      <c r="O42" s="32">
        <f t="shared" ref="O42:O55" si="20">+(((G42*V42)/85)/12.96)*10</f>
        <v>8.807189542483659</v>
      </c>
      <c r="P42" s="32">
        <f t="shared" ref="P42:P55" si="21">+(((I42*W42)/85)/12.96)*10</f>
        <v>9.1481481481481488</v>
      </c>
      <c r="Q42" s="22">
        <f t="shared" ref="Q42:Q55" si="22">AVERAGE(M42:P42)</f>
        <v>8.9938271604938258</v>
      </c>
      <c r="R42" s="4"/>
      <c r="S42" s="4">
        <v>2</v>
      </c>
      <c r="T42" s="19">
        <f t="shared" ref="T42:T55" si="23">+(100-D42)</f>
        <v>87.5</v>
      </c>
      <c r="U42" s="19">
        <f t="shared" ref="U42:U55" si="24">+(100-F42)</f>
        <v>87.4</v>
      </c>
      <c r="V42" s="19">
        <f t="shared" ref="V42:V55" si="25">+(100-H42)</f>
        <v>88.2</v>
      </c>
      <c r="W42" s="19">
        <f t="shared" ref="W42:W55" si="26">+(100-J42)</f>
        <v>88.4</v>
      </c>
      <c r="X42" s="11"/>
      <c r="Y42" s="11"/>
    </row>
    <row r="43" spans="1:25" ht="14.5" x14ac:dyDescent="0.35">
      <c r="A43" s="4"/>
      <c r="B43" s="4">
        <v>3</v>
      </c>
      <c r="C43" s="19">
        <v>9.74</v>
      </c>
      <c r="D43" s="19">
        <v>10.7</v>
      </c>
      <c r="E43" s="20">
        <v>10.4</v>
      </c>
      <c r="F43" s="21">
        <v>11.8</v>
      </c>
      <c r="G43" s="19">
        <v>9.32</v>
      </c>
      <c r="H43" s="19">
        <v>10.3</v>
      </c>
      <c r="I43" s="20">
        <v>9.16</v>
      </c>
      <c r="J43" s="21">
        <v>11.4</v>
      </c>
      <c r="K43" s="4"/>
      <c r="L43" s="4">
        <v>3</v>
      </c>
      <c r="M43" s="32">
        <f t="shared" si="18"/>
        <v>7.8956245461147425</v>
      </c>
      <c r="N43" s="32">
        <f t="shared" si="19"/>
        <v>8.3267973856209156</v>
      </c>
      <c r="O43" s="32">
        <f t="shared" si="20"/>
        <v>7.5889978213507625</v>
      </c>
      <c r="P43" s="32">
        <f t="shared" si="21"/>
        <v>7.3672476397966582</v>
      </c>
      <c r="Q43" s="22">
        <f t="shared" si="22"/>
        <v>7.7946668482207704</v>
      </c>
      <c r="R43" s="4"/>
      <c r="S43" s="4">
        <v>3</v>
      </c>
      <c r="T43" s="19">
        <f t="shared" si="23"/>
        <v>89.3</v>
      </c>
      <c r="U43" s="19">
        <f t="shared" si="24"/>
        <v>88.2</v>
      </c>
      <c r="V43" s="19">
        <f t="shared" si="25"/>
        <v>89.7</v>
      </c>
      <c r="W43" s="19">
        <f t="shared" si="26"/>
        <v>88.6</v>
      </c>
      <c r="X43" s="11"/>
      <c r="Y43" s="11"/>
    </row>
    <row r="44" spans="1:25" ht="14.5" x14ac:dyDescent="0.35">
      <c r="A44" s="4"/>
      <c r="B44" s="4">
        <v>4</v>
      </c>
      <c r="C44" s="19">
        <v>10.199999999999999</v>
      </c>
      <c r="D44" s="19">
        <v>12</v>
      </c>
      <c r="E44" s="20">
        <v>10.8</v>
      </c>
      <c r="F44" s="21">
        <v>12</v>
      </c>
      <c r="G44" s="19">
        <v>12.1</v>
      </c>
      <c r="H44" s="19">
        <v>11.2</v>
      </c>
      <c r="I44" s="20">
        <v>9.41</v>
      </c>
      <c r="J44" s="21">
        <v>11.4</v>
      </c>
      <c r="K44" s="4"/>
      <c r="L44" s="4">
        <v>4</v>
      </c>
      <c r="M44" s="32">
        <f t="shared" si="18"/>
        <v>8.148148148148147</v>
      </c>
      <c r="N44" s="32">
        <f t="shared" si="19"/>
        <v>8.6274509803921564</v>
      </c>
      <c r="O44" s="32">
        <f t="shared" si="20"/>
        <v>9.753812636165577</v>
      </c>
      <c r="P44" s="32">
        <f t="shared" si="21"/>
        <v>7.5683188090050821</v>
      </c>
      <c r="Q44" s="22">
        <f t="shared" si="22"/>
        <v>8.5244326434277404</v>
      </c>
      <c r="R44" s="4"/>
      <c r="S44" s="4">
        <v>4</v>
      </c>
      <c r="T44" s="19">
        <f t="shared" si="23"/>
        <v>88</v>
      </c>
      <c r="U44" s="19">
        <f t="shared" si="24"/>
        <v>88</v>
      </c>
      <c r="V44" s="19">
        <f t="shared" si="25"/>
        <v>88.8</v>
      </c>
      <c r="W44" s="19">
        <f t="shared" si="26"/>
        <v>88.6</v>
      </c>
      <c r="X44" s="11"/>
      <c r="Y44" s="11"/>
    </row>
    <row r="45" spans="1:25" ht="14.5" x14ac:dyDescent="0.35">
      <c r="A45" s="4"/>
      <c r="B45" s="4">
        <v>5</v>
      </c>
      <c r="C45" s="19">
        <v>11</v>
      </c>
      <c r="D45" s="19">
        <v>12.4</v>
      </c>
      <c r="E45" s="20">
        <v>10.8</v>
      </c>
      <c r="F45" s="21">
        <v>12</v>
      </c>
      <c r="G45" s="19">
        <v>10.1</v>
      </c>
      <c r="H45" s="19">
        <v>11.7</v>
      </c>
      <c r="I45" s="20">
        <v>10</v>
      </c>
      <c r="J45" s="21">
        <v>11.7</v>
      </c>
      <c r="K45" s="4"/>
      <c r="L45" s="4">
        <v>5</v>
      </c>
      <c r="M45" s="32">
        <f t="shared" si="18"/>
        <v>8.7472766884531588</v>
      </c>
      <c r="N45" s="32">
        <f t="shared" si="19"/>
        <v>8.6274509803921564</v>
      </c>
      <c r="O45" s="32">
        <f t="shared" si="20"/>
        <v>8.0957697893972398</v>
      </c>
      <c r="P45" s="32">
        <f t="shared" si="21"/>
        <v>8.0156136528685558</v>
      </c>
      <c r="Q45" s="22">
        <f t="shared" si="22"/>
        <v>8.3715277777777786</v>
      </c>
      <c r="R45" s="4"/>
      <c r="S45" s="4">
        <v>5</v>
      </c>
      <c r="T45" s="19">
        <f t="shared" si="23"/>
        <v>87.6</v>
      </c>
      <c r="U45" s="19">
        <f t="shared" si="24"/>
        <v>88</v>
      </c>
      <c r="V45" s="19">
        <f t="shared" si="25"/>
        <v>88.3</v>
      </c>
      <c r="W45" s="19">
        <f t="shared" si="26"/>
        <v>88.3</v>
      </c>
      <c r="X45" s="11"/>
      <c r="Y45" s="11"/>
    </row>
    <row r="46" spans="1:25" ht="14.5" x14ac:dyDescent="0.35">
      <c r="A46" s="14" t="s">
        <v>512</v>
      </c>
      <c r="B46" s="4">
        <v>6</v>
      </c>
      <c r="C46" s="19">
        <v>10.3</v>
      </c>
      <c r="D46" s="19">
        <v>11.7</v>
      </c>
      <c r="E46" s="20">
        <v>9.77</v>
      </c>
      <c r="F46" s="21">
        <v>11.7</v>
      </c>
      <c r="G46" s="19">
        <v>12.3</v>
      </c>
      <c r="H46" s="19">
        <v>11.2</v>
      </c>
      <c r="I46" s="20">
        <v>10.3</v>
      </c>
      <c r="J46" s="21">
        <v>11.3</v>
      </c>
      <c r="K46" s="14" t="s">
        <v>512</v>
      </c>
      <c r="L46" s="4">
        <v>6</v>
      </c>
      <c r="M46" s="32">
        <f t="shared" si="18"/>
        <v>8.2560820624546114</v>
      </c>
      <c r="N46" s="32">
        <f t="shared" si="19"/>
        <v>7.8312545388525781</v>
      </c>
      <c r="O46" s="32">
        <f t="shared" si="20"/>
        <v>9.9150326797385606</v>
      </c>
      <c r="P46" s="32">
        <f t="shared" si="21"/>
        <v>8.2934822076978953</v>
      </c>
      <c r="Q46" s="22">
        <f t="shared" si="22"/>
        <v>8.5739628721859127</v>
      </c>
      <c r="R46" s="14" t="s">
        <v>512</v>
      </c>
      <c r="S46" s="4">
        <v>6</v>
      </c>
      <c r="T46" s="19">
        <f t="shared" si="23"/>
        <v>88.3</v>
      </c>
      <c r="U46" s="19">
        <f t="shared" si="24"/>
        <v>88.3</v>
      </c>
      <c r="V46" s="19">
        <f t="shared" si="25"/>
        <v>88.8</v>
      </c>
      <c r="W46" s="19">
        <f t="shared" si="26"/>
        <v>88.7</v>
      </c>
      <c r="X46" s="11"/>
      <c r="Y46" s="11"/>
    </row>
    <row r="47" spans="1:25" ht="14.5" x14ac:dyDescent="0.35">
      <c r="A47" s="4" t="s">
        <v>513</v>
      </c>
      <c r="B47" s="4">
        <v>7</v>
      </c>
      <c r="C47" s="19">
        <v>11.9</v>
      </c>
      <c r="D47" s="19">
        <v>11.5</v>
      </c>
      <c r="E47" s="20">
        <v>11.4</v>
      </c>
      <c r="F47" s="21">
        <v>11.7</v>
      </c>
      <c r="G47" s="19">
        <v>11</v>
      </c>
      <c r="H47" s="19">
        <v>11.6</v>
      </c>
      <c r="I47" s="20">
        <v>11.8</v>
      </c>
      <c r="J47" s="21">
        <v>11.3</v>
      </c>
      <c r="K47" s="4" t="s">
        <v>513</v>
      </c>
      <c r="L47" s="4">
        <v>7</v>
      </c>
      <c r="M47" s="32">
        <f t="shared" si="18"/>
        <v>9.5601851851851851</v>
      </c>
      <c r="N47" s="32">
        <f t="shared" si="19"/>
        <v>9.1377995642701517</v>
      </c>
      <c r="O47" s="32">
        <f t="shared" si="20"/>
        <v>8.8271604938271615</v>
      </c>
      <c r="P47" s="32">
        <f t="shared" si="21"/>
        <v>9.5012708787218596</v>
      </c>
      <c r="Q47" s="22">
        <f t="shared" si="22"/>
        <v>9.256604030501089</v>
      </c>
      <c r="R47" s="4" t="s">
        <v>513</v>
      </c>
      <c r="S47" s="4">
        <v>7</v>
      </c>
      <c r="T47" s="19">
        <f t="shared" si="23"/>
        <v>88.5</v>
      </c>
      <c r="U47" s="19">
        <f t="shared" si="24"/>
        <v>88.3</v>
      </c>
      <c r="V47" s="19">
        <f t="shared" si="25"/>
        <v>88.4</v>
      </c>
      <c r="W47" s="19">
        <f t="shared" si="26"/>
        <v>88.7</v>
      </c>
      <c r="X47" s="11"/>
      <c r="Y47" s="11"/>
    </row>
    <row r="48" spans="1:25" ht="14.5" x14ac:dyDescent="0.35">
      <c r="A48" s="4"/>
      <c r="B48" s="4">
        <v>8</v>
      </c>
      <c r="C48" s="19">
        <v>9.84</v>
      </c>
      <c r="D48" s="19">
        <v>11.9</v>
      </c>
      <c r="E48" s="20">
        <v>10.199999999999999</v>
      </c>
      <c r="F48" s="21">
        <v>11.9</v>
      </c>
      <c r="G48" s="19">
        <v>9.9</v>
      </c>
      <c r="H48" s="19">
        <v>11.7</v>
      </c>
      <c r="I48" s="20">
        <v>10.8</v>
      </c>
      <c r="J48" s="21">
        <v>11.6</v>
      </c>
      <c r="K48" s="4"/>
      <c r="L48" s="4">
        <v>8</v>
      </c>
      <c r="M48" s="32">
        <f t="shared" si="18"/>
        <v>7.8694989106753797</v>
      </c>
      <c r="N48" s="32">
        <f t="shared" si="19"/>
        <v>8.1574074074074066</v>
      </c>
      <c r="O48" s="32">
        <f t="shared" si="20"/>
        <v>7.9354575163398691</v>
      </c>
      <c r="P48" s="32">
        <f t="shared" si="21"/>
        <v>8.6666666666666679</v>
      </c>
      <c r="Q48" s="22">
        <f t="shared" si="22"/>
        <v>8.1572576252723312</v>
      </c>
      <c r="R48" s="4"/>
      <c r="S48" s="4">
        <v>8</v>
      </c>
      <c r="T48" s="19">
        <f t="shared" si="23"/>
        <v>88.1</v>
      </c>
      <c r="U48" s="19">
        <f t="shared" si="24"/>
        <v>88.1</v>
      </c>
      <c r="V48" s="19">
        <f t="shared" si="25"/>
        <v>88.3</v>
      </c>
      <c r="W48" s="19">
        <f t="shared" si="26"/>
        <v>88.4</v>
      </c>
      <c r="X48" s="11"/>
      <c r="Y48" s="11"/>
    </row>
    <row r="49" spans="1:25" ht="14.5" x14ac:dyDescent="0.35">
      <c r="A49" s="4"/>
      <c r="B49" s="4">
        <v>9</v>
      </c>
      <c r="C49" s="19">
        <v>12.9</v>
      </c>
      <c r="D49" s="19">
        <v>12.4</v>
      </c>
      <c r="E49" s="20">
        <v>12.8</v>
      </c>
      <c r="F49" s="21">
        <v>12.3</v>
      </c>
      <c r="G49" s="19">
        <v>10.9</v>
      </c>
      <c r="H49" s="19">
        <v>12.3</v>
      </c>
      <c r="I49" s="20">
        <v>11</v>
      </c>
      <c r="J49" s="21">
        <v>11.7</v>
      </c>
      <c r="K49" s="4"/>
      <c r="L49" s="4">
        <v>9</v>
      </c>
      <c r="M49" s="32">
        <f t="shared" si="18"/>
        <v>10.258169934640522</v>
      </c>
      <c r="N49" s="32">
        <f t="shared" si="19"/>
        <v>10.190268700072622</v>
      </c>
      <c r="O49" s="32">
        <f t="shared" si="20"/>
        <v>8.6776506899055921</v>
      </c>
      <c r="P49" s="32">
        <f t="shared" si="21"/>
        <v>8.8171750181554085</v>
      </c>
      <c r="Q49" s="22">
        <f t="shared" si="22"/>
        <v>9.4858160856935356</v>
      </c>
      <c r="R49" s="4"/>
      <c r="S49" s="4">
        <v>9</v>
      </c>
      <c r="T49" s="19">
        <f t="shared" si="23"/>
        <v>87.6</v>
      </c>
      <c r="U49" s="19">
        <f t="shared" si="24"/>
        <v>87.7</v>
      </c>
      <c r="V49" s="19">
        <f t="shared" si="25"/>
        <v>87.7</v>
      </c>
      <c r="W49" s="19">
        <f t="shared" si="26"/>
        <v>88.3</v>
      </c>
      <c r="X49" s="11"/>
      <c r="Y49" s="11"/>
    </row>
    <row r="50" spans="1:25" ht="14.5" x14ac:dyDescent="0.35">
      <c r="A50" s="26"/>
      <c r="B50" s="4">
        <v>10</v>
      </c>
      <c r="C50" s="19">
        <v>10.8</v>
      </c>
      <c r="D50" s="19">
        <v>11.4</v>
      </c>
      <c r="E50" s="20">
        <v>10.9</v>
      </c>
      <c r="F50" s="21">
        <v>11.5</v>
      </c>
      <c r="G50" s="19">
        <v>10.8</v>
      </c>
      <c r="H50" s="19">
        <v>11.7</v>
      </c>
      <c r="I50" s="20">
        <v>10.1</v>
      </c>
      <c r="J50" s="27">
        <v>11.6</v>
      </c>
      <c r="K50" s="4"/>
      <c r="L50" s="4">
        <v>10</v>
      </c>
      <c r="M50" s="32">
        <f t="shared" si="18"/>
        <v>8.6862745098039209</v>
      </c>
      <c r="N50" s="32">
        <f t="shared" si="19"/>
        <v>8.7568082788671013</v>
      </c>
      <c r="O50" s="32">
        <f t="shared" si="20"/>
        <v>8.6568627450980387</v>
      </c>
      <c r="P50" s="32">
        <f t="shared" si="21"/>
        <v>8.1049382716049383</v>
      </c>
      <c r="Q50" s="22">
        <f t="shared" si="22"/>
        <v>8.5512209513434989</v>
      </c>
      <c r="R50" s="26"/>
      <c r="S50" s="4">
        <v>10</v>
      </c>
      <c r="T50" s="19">
        <f t="shared" si="23"/>
        <v>88.6</v>
      </c>
      <c r="U50" s="19">
        <f t="shared" si="24"/>
        <v>88.5</v>
      </c>
      <c r="V50" s="19">
        <f t="shared" si="25"/>
        <v>88.3</v>
      </c>
      <c r="W50" s="19">
        <f t="shared" si="26"/>
        <v>88.4</v>
      </c>
      <c r="X50" s="11"/>
      <c r="Y50" s="11"/>
    </row>
    <row r="51" spans="1:25" ht="14.5" x14ac:dyDescent="0.35">
      <c r="A51" s="4"/>
      <c r="B51" s="4">
        <v>11</v>
      </c>
      <c r="C51" s="19">
        <v>11.7</v>
      </c>
      <c r="D51" s="19">
        <v>12.3</v>
      </c>
      <c r="E51" s="20">
        <v>11.4</v>
      </c>
      <c r="F51" s="21">
        <v>12.2</v>
      </c>
      <c r="G51" s="19">
        <v>13.1</v>
      </c>
      <c r="H51" s="19">
        <v>11.8</v>
      </c>
      <c r="I51" s="33">
        <v>3.3</v>
      </c>
      <c r="J51" s="34">
        <v>11.6</v>
      </c>
      <c r="K51" s="4"/>
      <c r="L51" s="4">
        <v>11</v>
      </c>
      <c r="M51" s="32">
        <f t="shared" si="18"/>
        <v>9.3145424836601283</v>
      </c>
      <c r="N51" s="32">
        <f t="shared" si="19"/>
        <v>9.0860566448801734</v>
      </c>
      <c r="O51" s="32">
        <f t="shared" si="20"/>
        <v>10.488562091503269</v>
      </c>
      <c r="P51" s="32">
        <f t="shared" si="21"/>
        <v>2.6481481481481484</v>
      </c>
      <c r="Q51" s="22">
        <f t="shared" si="22"/>
        <v>7.8843273420479294</v>
      </c>
      <c r="R51" s="4"/>
      <c r="S51" s="4">
        <v>11</v>
      </c>
      <c r="T51" s="19">
        <f t="shared" si="23"/>
        <v>87.7</v>
      </c>
      <c r="U51" s="19">
        <f t="shared" si="24"/>
        <v>87.8</v>
      </c>
      <c r="V51" s="19">
        <f t="shared" si="25"/>
        <v>88.2</v>
      </c>
      <c r="W51" s="19">
        <f t="shared" si="26"/>
        <v>88.4</v>
      </c>
      <c r="X51" s="11"/>
      <c r="Y51" s="11"/>
    </row>
    <row r="52" spans="1:25" ht="14.5" x14ac:dyDescent="0.35">
      <c r="A52" s="4"/>
      <c r="B52" s="4">
        <v>12</v>
      </c>
      <c r="C52" s="19">
        <v>10.7</v>
      </c>
      <c r="D52" s="19">
        <v>11.4</v>
      </c>
      <c r="E52" s="20">
        <v>11</v>
      </c>
      <c r="F52" s="21">
        <v>11.3</v>
      </c>
      <c r="G52" s="19">
        <v>11.1</v>
      </c>
      <c r="H52" s="19">
        <v>11.3</v>
      </c>
      <c r="I52" s="20">
        <v>10.6</v>
      </c>
      <c r="J52" s="21">
        <v>11.2</v>
      </c>
      <c r="K52" s="4"/>
      <c r="L52" s="4">
        <v>12</v>
      </c>
      <c r="M52" s="32">
        <f t="shared" si="18"/>
        <v>8.6058460421205503</v>
      </c>
      <c r="N52" s="32">
        <f t="shared" si="19"/>
        <v>8.8571169208424099</v>
      </c>
      <c r="O52" s="32">
        <f t="shared" si="20"/>
        <v>8.9376361655773433</v>
      </c>
      <c r="P52" s="32">
        <f t="shared" si="21"/>
        <v>8.5446623093681904</v>
      </c>
      <c r="Q52" s="22">
        <f t="shared" si="22"/>
        <v>8.7363153594771248</v>
      </c>
      <c r="R52" s="4"/>
      <c r="S52" s="4">
        <v>12</v>
      </c>
      <c r="T52" s="19">
        <f t="shared" si="23"/>
        <v>88.6</v>
      </c>
      <c r="U52" s="19">
        <f t="shared" si="24"/>
        <v>88.7</v>
      </c>
      <c r="V52" s="19">
        <f t="shared" si="25"/>
        <v>88.7</v>
      </c>
      <c r="W52" s="19">
        <f t="shared" si="26"/>
        <v>88.8</v>
      </c>
      <c r="X52" s="11"/>
      <c r="Y52" s="11"/>
    </row>
    <row r="53" spans="1:25" ht="14.5" x14ac:dyDescent="0.35">
      <c r="A53" s="4"/>
      <c r="B53" s="4">
        <v>13</v>
      </c>
      <c r="C53" s="19">
        <v>10.4</v>
      </c>
      <c r="D53" s="19">
        <v>11.3</v>
      </c>
      <c r="E53" s="20">
        <v>11</v>
      </c>
      <c r="F53" s="21">
        <v>11.2</v>
      </c>
      <c r="G53" s="19">
        <v>10.5</v>
      </c>
      <c r="H53" s="19">
        <v>11.1</v>
      </c>
      <c r="I53" s="20">
        <v>9.33</v>
      </c>
      <c r="J53" s="21">
        <v>11</v>
      </c>
      <c r="K53" s="4"/>
      <c r="L53" s="4">
        <v>13</v>
      </c>
      <c r="M53" s="32">
        <f t="shared" si="18"/>
        <v>8.3740014524328252</v>
      </c>
      <c r="N53" s="32">
        <f t="shared" si="19"/>
        <v>8.8671023965141593</v>
      </c>
      <c r="O53" s="32">
        <f t="shared" si="20"/>
        <v>8.4735838779956438</v>
      </c>
      <c r="P53" s="32">
        <f t="shared" si="21"/>
        <v>7.537854030501089</v>
      </c>
      <c r="Q53" s="22">
        <f t="shared" si="22"/>
        <v>8.3131354393609289</v>
      </c>
      <c r="R53" s="4"/>
      <c r="S53" s="4">
        <v>13</v>
      </c>
      <c r="T53" s="19">
        <f t="shared" si="23"/>
        <v>88.7</v>
      </c>
      <c r="U53" s="19">
        <f t="shared" si="24"/>
        <v>88.8</v>
      </c>
      <c r="V53" s="19">
        <f t="shared" si="25"/>
        <v>88.9</v>
      </c>
      <c r="W53" s="19">
        <f t="shared" si="26"/>
        <v>89</v>
      </c>
      <c r="X53" s="11"/>
      <c r="Y53" s="11"/>
    </row>
    <row r="54" spans="1:25" ht="14.5" x14ac:dyDescent="0.35">
      <c r="A54" s="4"/>
      <c r="B54" s="4">
        <v>14</v>
      </c>
      <c r="C54" s="19">
        <v>10.7</v>
      </c>
      <c r="D54" s="19">
        <v>11.8</v>
      </c>
      <c r="E54" s="20">
        <v>11.2</v>
      </c>
      <c r="F54" s="21">
        <v>11.7</v>
      </c>
      <c r="G54" s="19">
        <v>9.86</v>
      </c>
      <c r="H54" s="19">
        <v>12.1</v>
      </c>
      <c r="I54" s="20">
        <v>9.06</v>
      </c>
      <c r="J54" s="21">
        <v>10.7</v>
      </c>
      <c r="K54" s="4"/>
      <c r="L54" s="4">
        <v>14</v>
      </c>
      <c r="M54" s="32">
        <f t="shared" si="18"/>
        <v>8.5669934640522865</v>
      </c>
      <c r="N54" s="32">
        <f t="shared" si="19"/>
        <v>8.9774872912127801</v>
      </c>
      <c r="O54" s="32">
        <f t="shared" si="20"/>
        <v>7.867592592592592</v>
      </c>
      <c r="P54" s="32">
        <f t="shared" si="21"/>
        <v>7.3443899782135071</v>
      </c>
      <c r="Q54" s="22">
        <f t="shared" si="22"/>
        <v>8.1891158315177908</v>
      </c>
      <c r="R54" s="4"/>
      <c r="S54" s="4">
        <v>14</v>
      </c>
      <c r="T54" s="19">
        <f t="shared" si="23"/>
        <v>88.2</v>
      </c>
      <c r="U54" s="19">
        <f t="shared" si="24"/>
        <v>88.3</v>
      </c>
      <c r="V54" s="19">
        <f t="shared" si="25"/>
        <v>87.9</v>
      </c>
      <c r="W54" s="19">
        <f t="shared" si="26"/>
        <v>89.3</v>
      </c>
      <c r="X54" s="11"/>
      <c r="Y54" s="11"/>
    </row>
    <row r="55" spans="1:25" ht="14.5" x14ac:dyDescent="0.35">
      <c r="A55" s="4"/>
      <c r="B55" s="4">
        <v>15</v>
      </c>
      <c r="C55" s="19">
        <v>9.98</v>
      </c>
      <c r="D55" s="19">
        <v>11</v>
      </c>
      <c r="E55" s="20">
        <v>11.1</v>
      </c>
      <c r="F55" s="21">
        <v>11.2</v>
      </c>
      <c r="G55" s="19">
        <v>10.5</v>
      </c>
      <c r="H55" s="19">
        <v>11.5</v>
      </c>
      <c r="I55" s="20">
        <v>10.3</v>
      </c>
      <c r="J55" s="21">
        <v>10.5</v>
      </c>
      <c r="K55" s="4"/>
      <c r="L55" s="4">
        <v>15</v>
      </c>
      <c r="M55" s="32">
        <f t="shared" si="18"/>
        <v>8.0629992737835874</v>
      </c>
      <c r="N55" s="32">
        <f t="shared" si="19"/>
        <v>8.947712418300652</v>
      </c>
      <c r="O55" s="32">
        <f t="shared" si="20"/>
        <v>8.4354575163398682</v>
      </c>
      <c r="P55" s="32">
        <f t="shared" si="21"/>
        <v>8.3682824981844579</v>
      </c>
      <c r="Q55" s="22">
        <f t="shared" si="22"/>
        <v>8.4536129266521414</v>
      </c>
      <c r="R55" s="4"/>
      <c r="S55" s="4">
        <v>15</v>
      </c>
      <c r="T55" s="19">
        <f t="shared" si="23"/>
        <v>89</v>
      </c>
      <c r="U55" s="19">
        <f t="shared" si="24"/>
        <v>88.8</v>
      </c>
      <c r="V55" s="19">
        <f t="shared" si="25"/>
        <v>88.5</v>
      </c>
      <c r="W55" s="19">
        <f t="shared" si="26"/>
        <v>89.5</v>
      </c>
      <c r="X55" s="11"/>
      <c r="Y55" s="11"/>
    </row>
    <row r="56" spans="1:25" ht="14.5" x14ac:dyDescent="0.35">
      <c r="A56" s="4"/>
      <c r="B56" s="4"/>
      <c r="C56" s="43" t="s">
        <v>500</v>
      </c>
      <c r="D56" s="43"/>
      <c r="E56" s="44" t="s">
        <v>501</v>
      </c>
      <c r="F56" s="45"/>
      <c r="G56" s="43" t="s">
        <v>502</v>
      </c>
      <c r="H56" s="43"/>
      <c r="I56" s="44" t="s">
        <v>503</v>
      </c>
      <c r="J56" s="45"/>
      <c r="K56" s="4"/>
      <c r="L56" s="4"/>
      <c r="M56" s="19"/>
      <c r="N56" s="19"/>
      <c r="O56" s="19"/>
      <c r="P56" s="19"/>
      <c r="Q56" s="35">
        <f>AVERAGE(Q41:Q55)</f>
        <v>8.263403685548294</v>
      </c>
      <c r="R56" s="4"/>
      <c r="S56" s="4"/>
      <c r="T56" s="19"/>
      <c r="U56" s="19"/>
      <c r="V56" s="19"/>
      <c r="W56" s="19"/>
      <c r="X56" s="11"/>
      <c r="Y56" s="11"/>
    </row>
    <row r="57" spans="1:25" ht="14.5" x14ac:dyDescent="0.35">
      <c r="A57" s="4"/>
      <c r="B57" s="4"/>
      <c r="C57" s="23" t="s">
        <v>505</v>
      </c>
      <c r="D57" s="23" t="s">
        <v>506</v>
      </c>
      <c r="E57" s="24" t="s">
        <v>505</v>
      </c>
      <c r="F57" s="25" t="s">
        <v>506</v>
      </c>
      <c r="G57" s="23" t="s">
        <v>505</v>
      </c>
      <c r="H57" s="23" t="s">
        <v>506</v>
      </c>
      <c r="I57" s="24" t="s">
        <v>505</v>
      </c>
      <c r="J57" s="25" t="s">
        <v>506</v>
      </c>
      <c r="K57" s="4"/>
      <c r="L57" s="4"/>
      <c r="M57" s="4" t="s">
        <v>500</v>
      </c>
      <c r="N57" s="4" t="s">
        <v>501</v>
      </c>
      <c r="O57" s="4" t="s">
        <v>502</v>
      </c>
      <c r="P57" s="4" t="s">
        <v>503</v>
      </c>
      <c r="Q57" s="18" t="s">
        <v>507</v>
      </c>
      <c r="R57" s="4"/>
      <c r="S57" s="4"/>
      <c r="T57" s="4" t="s">
        <v>500</v>
      </c>
      <c r="U57" s="4" t="s">
        <v>501</v>
      </c>
      <c r="V57" s="4" t="s">
        <v>502</v>
      </c>
      <c r="W57" s="4" t="s">
        <v>503</v>
      </c>
      <c r="X57" s="11"/>
      <c r="Y57" s="11"/>
    </row>
    <row r="58" spans="1:25" ht="14.5" x14ac:dyDescent="0.35">
      <c r="A58" s="4"/>
      <c r="B58" s="4">
        <v>1</v>
      </c>
      <c r="C58" s="19">
        <v>5.61</v>
      </c>
      <c r="D58" s="19">
        <v>11.4</v>
      </c>
      <c r="E58" s="20">
        <v>5.82</v>
      </c>
      <c r="F58" s="21">
        <v>12.2</v>
      </c>
      <c r="G58" s="19">
        <v>4.95</v>
      </c>
      <c r="H58" s="19">
        <v>10.9</v>
      </c>
      <c r="I58" s="20">
        <v>5.86</v>
      </c>
      <c r="J58" s="21">
        <v>11</v>
      </c>
      <c r="K58" s="4"/>
      <c r="L58" s="4">
        <v>1</v>
      </c>
      <c r="M58" s="32">
        <f>+(((C58*T58)/85)/12.96)*10</f>
        <v>4.5120370370370368</v>
      </c>
      <c r="N58" s="32">
        <f>+(((E58*U58)/85)/12.96)*10</f>
        <v>4.6386710239651414</v>
      </c>
      <c r="O58" s="32">
        <f>+(((G58*V58)/85)/12.96)*10</f>
        <v>4.0036764705882355</v>
      </c>
      <c r="P58" s="32">
        <f>+(((I58*W58)/85)/12.96)*10</f>
        <v>4.7343863471314451</v>
      </c>
      <c r="Q58" s="22">
        <f>AVERAGE(M58:P58)</f>
        <v>4.4721927196804643</v>
      </c>
      <c r="R58" s="4"/>
      <c r="S58" s="4">
        <v>1</v>
      </c>
      <c r="T58" s="19">
        <f>+(100-D58)</f>
        <v>88.6</v>
      </c>
      <c r="U58" s="19">
        <f>+(100-F58)</f>
        <v>87.8</v>
      </c>
      <c r="V58" s="19">
        <f>+(100-H58)</f>
        <v>89.1</v>
      </c>
      <c r="W58" s="19">
        <f>+(100-J58)</f>
        <v>89</v>
      </c>
      <c r="X58" s="11"/>
      <c r="Y58" s="11"/>
    </row>
    <row r="59" spans="1:25" ht="14.5" x14ac:dyDescent="0.35">
      <c r="A59" s="4"/>
      <c r="B59" s="4">
        <v>2</v>
      </c>
      <c r="C59" s="19">
        <v>13.4</v>
      </c>
      <c r="D59" s="19">
        <v>12.6</v>
      </c>
      <c r="E59" s="20">
        <v>11.8</v>
      </c>
      <c r="F59" s="21">
        <v>11.2</v>
      </c>
      <c r="G59" s="19">
        <v>12.3</v>
      </c>
      <c r="H59" s="19">
        <v>11.8</v>
      </c>
      <c r="I59" s="20">
        <v>12.1</v>
      </c>
      <c r="J59" s="21">
        <v>11.7</v>
      </c>
      <c r="K59" s="4"/>
      <c r="L59" s="4">
        <v>2</v>
      </c>
      <c r="M59" s="32">
        <f t="shared" ref="M59:M72" si="27">+(((C59*T59)/85)/12.96)*10</f>
        <v>10.631445170660857</v>
      </c>
      <c r="N59" s="32">
        <f t="shared" ref="N59:N72" si="28">+(((E59*U59)/85)/12.96)*10</f>
        <v>9.5119825708060972</v>
      </c>
      <c r="O59" s="32">
        <f t="shared" ref="O59:O72" si="29">+(((G59*V59)/85)/12.96)*10</f>
        <v>9.8480392156862742</v>
      </c>
      <c r="P59" s="32">
        <f t="shared" ref="P59:P72" si="30">+(((I59*W59)/85)/12.96)*10</f>
        <v>9.6988925199709506</v>
      </c>
      <c r="Q59" s="22">
        <f t="shared" ref="Q59:Q72" si="31">AVERAGE(M59:P59)</f>
        <v>9.9225898692810439</v>
      </c>
      <c r="R59" s="4"/>
      <c r="S59" s="4">
        <v>2</v>
      </c>
      <c r="T59" s="19">
        <f t="shared" ref="T59:T72" si="32">+(100-D59)</f>
        <v>87.4</v>
      </c>
      <c r="U59" s="19">
        <f t="shared" ref="U59:U72" si="33">+(100-F59)</f>
        <v>88.8</v>
      </c>
      <c r="V59" s="19">
        <f t="shared" ref="V59:V72" si="34">+(100-H59)</f>
        <v>88.2</v>
      </c>
      <c r="W59" s="19">
        <f t="shared" ref="W59:W72" si="35">+(100-J59)</f>
        <v>88.3</v>
      </c>
      <c r="X59" s="11"/>
      <c r="Y59" s="11"/>
    </row>
    <row r="60" spans="1:25" ht="14.5" x14ac:dyDescent="0.35">
      <c r="A60" s="4"/>
      <c r="B60" s="4">
        <v>3</v>
      </c>
      <c r="C60" s="19">
        <v>11.3</v>
      </c>
      <c r="D60" s="19">
        <v>12.1</v>
      </c>
      <c r="E60" s="20">
        <v>10.3</v>
      </c>
      <c r="F60" s="21">
        <v>12</v>
      </c>
      <c r="G60" s="19">
        <v>10.3</v>
      </c>
      <c r="H60" s="19">
        <v>11.4</v>
      </c>
      <c r="I60" s="20">
        <v>10.1</v>
      </c>
      <c r="J60" s="21">
        <v>11.4</v>
      </c>
      <c r="K60" s="4"/>
      <c r="L60" s="4">
        <v>3</v>
      </c>
      <c r="M60" s="32">
        <f t="shared" si="27"/>
        <v>9.0166122004357305</v>
      </c>
      <c r="N60" s="32">
        <f t="shared" si="28"/>
        <v>8.2280319535221498</v>
      </c>
      <c r="O60" s="32">
        <f t="shared" si="29"/>
        <v>8.2841321713870748</v>
      </c>
      <c r="P60" s="32">
        <f t="shared" si="30"/>
        <v>8.1232752360203317</v>
      </c>
      <c r="Q60" s="22">
        <f t="shared" si="31"/>
        <v>8.4130128903413208</v>
      </c>
      <c r="R60" s="4"/>
      <c r="S60" s="4">
        <v>3</v>
      </c>
      <c r="T60" s="19">
        <f t="shared" si="32"/>
        <v>87.9</v>
      </c>
      <c r="U60" s="19">
        <f t="shared" si="33"/>
        <v>88</v>
      </c>
      <c r="V60" s="19">
        <f t="shared" si="34"/>
        <v>88.6</v>
      </c>
      <c r="W60" s="19">
        <f t="shared" si="35"/>
        <v>88.6</v>
      </c>
      <c r="X60" s="11"/>
      <c r="Y60" s="11"/>
    </row>
    <row r="61" spans="1:25" ht="14.5" x14ac:dyDescent="0.35">
      <c r="A61" s="4"/>
      <c r="B61" s="4">
        <v>4</v>
      </c>
      <c r="C61" s="19">
        <v>11.8</v>
      </c>
      <c r="D61" s="19">
        <v>11.6</v>
      </c>
      <c r="E61" s="20">
        <v>11.3</v>
      </c>
      <c r="F61" s="21">
        <v>11.8</v>
      </c>
      <c r="G61" s="19">
        <v>12.4</v>
      </c>
      <c r="H61" s="19">
        <v>11</v>
      </c>
      <c r="I61" s="20">
        <v>11.3</v>
      </c>
      <c r="J61" s="21">
        <v>11.4</v>
      </c>
      <c r="K61" s="4"/>
      <c r="L61" s="4">
        <v>4</v>
      </c>
      <c r="M61" s="32">
        <f t="shared" si="27"/>
        <v>9.4691358024691361</v>
      </c>
      <c r="N61" s="32">
        <f t="shared" si="28"/>
        <v>9.0473856209150334</v>
      </c>
      <c r="O61" s="32">
        <f t="shared" si="29"/>
        <v>10.018155410312273</v>
      </c>
      <c r="P61" s="32">
        <f t="shared" si="30"/>
        <v>9.0884168482207688</v>
      </c>
      <c r="Q61" s="22">
        <f t="shared" si="31"/>
        <v>9.4057734204793029</v>
      </c>
      <c r="R61" s="4"/>
      <c r="S61" s="4">
        <v>4</v>
      </c>
      <c r="T61" s="19">
        <f t="shared" si="32"/>
        <v>88.4</v>
      </c>
      <c r="U61" s="19">
        <f t="shared" si="33"/>
        <v>88.2</v>
      </c>
      <c r="V61" s="19">
        <f t="shared" si="34"/>
        <v>89</v>
      </c>
      <c r="W61" s="19">
        <f t="shared" si="35"/>
        <v>88.6</v>
      </c>
      <c r="X61" s="11"/>
      <c r="Y61" s="11"/>
    </row>
    <row r="62" spans="1:25" ht="14.5" x14ac:dyDescent="0.35">
      <c r="A62" s="4"/>
      <c r="B62" s="4">
        <v>5</v>
      </c>
      <c r="C62" s="19">
        <v>11.7</v>
      </c>
      <c r="D62" s="19">
        <v>12.2</v>
      </c>
      <c r="E62" s="20">
        <v>11.4</v>
      </c>
      <c r="F62" s="21">
        <v>12.6</v>
      </c>
      <c r="G62" s="19">
        <v>11.5</v>
      </c>
      <c r="H62" s="19">
        <v>11.6</v>
      </c>
      <c r="I62" s="20">
        <v>10.4</v>
      </c>
      <c r="J62" s="21">
        <v>11.7</v>
      </c>
      <c r="K62" s="4"/>
      <c r="L62" s="4">
        <v>5</v>
      </c>
      <c r="M62" s="32">
        <f t="shared" si="27"/>
        <v>9.3251633986928102</v>
      </c>
      <c r="N62" s="32">
        <f t="shared" si="28"/>
        <v>9.0446623093681922</v>
      </c>
      <c r="O62" s="32">
        <f t="shared" si="29"/>
        <v>9.2283950617283956</v>
      </c>
      <c r="P62" s="32">
        <f t="shared" si="30"/>
        <v>8.3362381989832972</v>
      </c>
      <c r="Q62" s="22">
        <f t="shared" si="31"/>
        <v>8.9836147421931738</v>
      </c>
      <c r="R62" s="4"/>
      <c r="S62" s="4">
        <v>5</v>
      </c>
      <c r="T62" s="19">
        <f t="shared" si="32"/>
        <v>87.8</v>
      </c>
      <c r="U62" s="19">
        <f t="shared" si="33"/>
        <v>87.4</v>
      </c>
      <c r="V62" s="19">
        <f t="shared" si="34"/>
        <v>88.4</v>
      </c>
      <c r="W62" s="19">
        <f t="shared" si="35"/>
        <v>88.3</v>
      </c>
      <c r="X62" s="11"/>
      <c r="Y62" s="11"/>
    </row>
    <row r="63" spans="1:25" ht="14.5" x14ac:dyDescent="0.35">
      <c r="A63" s="14" t="s">
        <v>514</v>
      </c>
      <c r="B63" s="4">
        <v>6</v>
      </c>
      <c r="C63" s="19">
        <v>11.2</v>
      </c>
      <c r="D63" s="19">
        <v>11.6</v>
      </c>
      <c r="E63" s="20">
        <v>11.3</v>
      </c>
      <c r="F63" s="21">
        <v>11.7</v>
      </c>
      <c r="G63" s="19">
        <v>12.4</v>
      </c>
      <c r="H63" s="19">
        <v>11.1</v>
      </c>
      <c r="I63" s="20">
        <v>10.4</v>
      </c>
      <c r="J63" s="21">
        <v>11.4</v>
      </c>
      <c r="K63" s="14" t="s">
        <v>514</v>
      </c>
      <c r="L63" s="4">
        <v>6</v>
      </c>
      <c r="M63" s="32">
        <f t="shared" si="27"/>
        <v>8.9876543209876534</v>
      </c>
      <c r="N63" s="32">
        <f t="shared" si="28"/>
        <v>9.0576434277414677</v>
      </c>
      <c r="O63" s="32">
        <f t="shared" si="29"/>
        <v>10.006899055918666</v>
      </c>
      <c r="P63" s="32">
        <f t="shared" si="30"/>
        <v>8.3645606390704419</v>
      </c>
      <c r="Q63" s="22">
        <f t="shared" si="31"/>
        <v>9.1041893609295563</v>
      </c>
      <c r="R63" s="14" t="s">
        <v>514</v>
      </c>
      <c r="S63" s="4">
        <v>6</v>
      </c>
      <c r="T63" s="19">
        <f t="shared" si="32"/>
        <v>88.4</v>
      </c>
      <c r="U63" s="19">
        <f t="shared" si="33"/>
        <v>88.3</v>
      </c>
      <c r="V63" s="19">
        <f t="shared" si="34"/>
        <v>88.9</v>
      </c>
      <c r="W63" s="19">
        <f t="shared" si="35"/>
        <v>88.6</v>
      </c>
      <c r="X63" s="11"/>
      <c r="Y63" s="11"/>
    </row>
    <row r="64" spans="1:25" ht="14.5" x14ac:dyDescent="0.35">
      <c r="A64" s="4" t="s">
        <v>515</v>
      </c>
      <c r="B64" s="4">
        <v>7</v>
      </c>
      <c r="C64" s="19">
        <v>11.7</v>
      </c>
      <c r="D64" s="19">
        <v>11.6</v>
      </c>
      <c r="E64" s="20">
        <v>12.4</v>
      </c>
      <c r="F64" s="21">
        <v>11.8</v>
      </c>
      <c r="G64" s="19">
        <v>12.3</v>
      </c>
      <c r="H64" s="19">
        <v>11.2</v>
      </c>
      <c r="I64" s="20">
        <v>11.6</v>
      </c>
      <c r="J64" s="21">
        <v>11.4</v>
      </c>
      <c r="K64" s="4" t="s">
        <v>515</v>
      </c>
      <c r="L64" s="4">
        <v>7</v>
      </c>
      <c r="M64" s="32">
        <f t="shared" si="27"/>
        <v>9.3888888888888875</v>
      </c>
      <c r="N64" s="32">
        <f t="shared" si="28"/>
        <v>9.9281045751633989</v>
      </c>
      <c r="O64" s="32">
        <f t="shared" si="29"/>
        <v>9.9150326797385606</v>
      </c>
      <c r="P64" s="32">
        <f t="shared" si="30"/>
        <v>9.3297022512708772</v>
      </c>
      <c r="Q64" s="22">
        <f t="shared" si="31"/>
        <v>9.6404320987654302</v>
      </c>
      <c r="R64" s="4" t="s">
        <v>515</v>
      </c>
      <c r="S64" s="4">
        <v>7</v>
      </c>
      <c r="T64" s="19">
        <f t="shared" si="32"/>
        <v>88.4</v>
      </c>
      <c r="U64" s="19">
        <f t="shared" si="33"/>
        <v>88.2</v>
      </c>
      <c r="V64" s="19">
        <f t="shared" si="34"/>
        <v>88.8</v>
      </c>
      <c r="W64" s="19">
        <f t="shared" si="35"/>
        <v>88.6</v>
      </c>
      <c r="X64" s="11"/>
      <c r="Y64" s="11"/>
    </row>
    <row r="65" spans="1:25" ht="14.5" x14ac:dyDescent="0.35">
      <c r="A65" s="4"/>
      <c r="B65" s="4">
        <v>8</v>
      </c>
      <c r="C65" s="19">
        <v>11.9</v>
      </c>
      <c r="D65" s="19">
        <v>11.8</v>
      </c>
      <c r="E65" s="20">
        <v>11.4</v>
      </c>
      <c r="F65" s="21">
        <v>12</v>
      </c>
      <c r="G65" s="19">
        <v>11.2</v>
      </c>
      <c r="H65" s="19">
        <v>11.6</v>
      </c>
      <c r="I65" s="20">
        <v>11.4</v>
      </c>
      <c r="J65" s="21">
        <v>11.7</v>
      </c>
      <c r="K65" s="4"/>
      <c r="L65" s="4">
        <v>8</v>
      </c>
      <c r="M65" s="32">
        <f t="shared" si="27"/>
        <v>9.5277777777777786</v>
      </c>
      <c r="N65" s="32">
        <f t="shared" si="28"/>
        <v>9.1067538126361658</v>
      </c>
      <c r="O65" s="32">
        <f t="shared" si="29"/>
        <v>8.9876543209876534</v>
      </c>
      <c r="P65" s="32">
        <f t="shared" si="30"/>
        <v>9.1377995642701517</v>
      </c>
      <c r="Q65" s="22">
        <f t="shared" si="31"/>
        <v>9.1899963689179369</v>
      </c>
      <c r="R65" s="4"/>
      <c r="S65" s="4">
        <v>8</v>
      </c>
      <c r="T65" s="19">
        <f t="shared" si="32"/>
        <v>88.2</v>
      </c>
      <c r="U65" s="19">
        <f t="shared" si="33"/>
        <v>88</v>
      </c>
      <c r="V65" s="19">
        <f t="shared" si="34"/>
        <v>88.4</v>
      </c>
      <c r="W65" s="19">
        <f t="shared" si="35"/>
        <v>88.3</v>
      </c>
      <c r="X65" s="11"/>
      <c r="Y65" s="11"/>
    </row>
    <row r="66" spans="1:25" ht="14.5" x14ac:dyDescent="0.35">
      <c r="A66" s="4"/>
      <c r="B66" s="4">
        <v>9</v>
      </c>
      <c r="C66" s="19">
        <v>13.8</v>
      </c>
      <c r="D66" s="19">
        <v>12.7</v>
      </c>
      <c r="E66" s="20">
        <v>13.1</v>
      </c>
      <c r="F66" s="21">
        <v>12.4</v>
      </c>
      <c r="G66" s="19">
        <v>12.4</v>
      </c>
      <c r="H66" s="19">
        <v>12.3</v>
      </c>
      <c r="I66" s="20">
        <v>12.1</v>
      </c>
      <c r="J66" s="21">
        <v>11.8</v>
      </c>
      <c r="K66" s="4"/>
      <c r="L66" s="4">
        <v>9</v>
      </c>
      <c r="M66" s="32">
        <f t="shared" si="27"/>
        <v>10.936274509803921</v>
      </c>
      <c r="N66" s="32">
        <f t="shared" si="28"/>
        <v>10.417211328976034</v>
      </c>
      <c r="O66" s="32">
        <f t="shared" si="29"/>
        <v>9.8718228031953519</v>
      </c>
      <c r="P66" s="32">
        <f t="shared" si="30"/>
        <v>9.6879084967320246</v>
      </c>
      <c r="Q66" s="22">
        <f t="shared" si="31"/>
        <v>10.228304284676831</v>
      </c>
      <c r="R66" s="4"/>
      <c r="S66" s="4">
        <v>9</v>
      </c>
      <c r="T66" s="19">
        <f t="shared" si="32"/>
        <v>87.3</v>
      </c>
      <c r="U66" s="19">
        <f t="shared" si="33"/>
        <v>87.6</v>
      </c>
      <c r="V66" s="19">
        <f t="shared" si="34"/>
        <v>87.7</v>
      </c>
      <c r="W66" s="19">
        <f t="shared" si="35"/>
        <v>88.2</v>
      </c>
      <c r="X66" s="11"/>
      <c r="Y66" s="11"/>
    </row>
    <row r="67" spans="1:25" ht="14.5" x14ac:dyDescent="0.35">
      <c r="A67" s="4"/>
      <c r="B67" s="4">
        <v>10</v>
      </c>
      <c r="C67" s="19">
        <v>13.4</v>
      </c>
      <c r="D67" s="19">
        <v>11.6</v>
      </c>
      <c r="E67" s="20">
        <v>12.2</v>
      </c>
      <c r="F67" s="21">
        <v>11.4</v>
      </c>
      <c r="G67" s="19">
        <v>10.6</v>
      </c>
      <c r="H67" s="19">
        <v>11.8</v>
      </c>
      <c r="I67" s="20">
        <v>10.8</v>
      </c>
      <c r="J67" s="21">
        <v>11.5</v>
      </c>
      <c r="K67" s="4"/>
      <c r="L67" s="4">
        <v>10</v>
      </c>
      <c r="M67" s="32">
        <f t="shared" si="27"/>
        <v>10.753086419753085</v>
      </c>
      <c r="N67" s="32">
        <f t="shared" si="28"/>
        <v>9.8122730573710939</v>
      </c>
      <c r="O67" s="32">
        <f t="shared" si="29"/>
        <v>8.4869281045751634</v>
      </c>
      <c r="P67" s="32">
        <f t="shared" si="30"/>
        <v>8.6764705882352935</v>
      </c>
      <c r="Q67" s="22">
        <f t="shared" si="31"/>
        <v>9.432189542483659</v>
      </c>
      <c r="R67" s="4"/>
      <c r="S67" s="4">
        <v>10</v>
      </c>
      <c r="T67" s="19">
        <f t="shared" si="32"/>
        <v>88.4</v>
      </c>
      <c r="U67" s="19">
        <f t="shared" si="33"/>
        <v>88.6</v>
      </c>
      <c r="V67" s="19">
        <f t="shared" si="34"/>
        <v>88.2</v>
      </c>
      <c r="W67" s="19">
        <f t="shared" si="35"/>
        <v>88.5</v>
      </c>
      <c r="X67" s="11"/>
      <c r="Y67" s="11"/>
    </row>
    <row r="68" spans="1:25" ht="14.5" x14ac:dyDescent="0.35">
      <c r="A68" s="4"/>
      <c r="B68" s="4">
        <v>11</v>
      </c>
      <c r="C68" s="19">
        <v>12.9</v>
      </c>
      <c r="D68" s="19">
        <v>12.4</v>
      </c>
      <c r="E68" s="20">
        <v>11.8</v>
      </c>
      <c r="F68" s="21">
        <v>12.5</v>
      </c>
      <c r="G68" s="19">
        <v>12.3</v>
      </c>
      <c r="H68" s="19">
        <v>11.8</v>
      </c>
      <c r="I68" s="20">
        <v>11</v>
      </c>
      <c r="J68" s="21">
        <v>11.9</v>
      </c>
      <c r="K68" s="4"/>
      <c r="L68" s="4">
        <v>11</v>
      </c>
      <c r="M68" s="32">
        <f t="shared" si="27"/>
        <v>10.258169934640522</v>
      </c>
      <c r="N68" s="32">
        <f t="shared" si="28"/>
        <v>9.3727305737109639</v>
      </c>
      <c r="O68" s="32">
        <f t="shared" si="29"/>
        <v>9.8480392156862742</v>
      </c>
      <c r="P68" s="32">
        <f t="shared" si="30"/>
        <v>8.7972040668119096</v>
      </c>
      <c r="Q68" s="22">
        <f t="shared" si="31"/>
        <v>9.5690359477124183</v>
      </c>
      <c r="R68" s="4"/>
      <c r="S68" s="4">
        <v>11</v>
      </c>
      <c r="T68" s="19">
        <f t="shared" si="32"/>
        <v>87.6</v>
      </c>
      <c r="U68" s="19">
        <f t="shared" si="33"/>
        <v>87.5</v>
      </c>
      <c r="V68" s="19">
        <f t="shared" si="34"/>
        <v>88.2</v>
      </c>
      <c r="W68" s="19">
        <f t="shared" si="35"/>
        <v>88.1</v>
      </c>
      <c r="X68" s="11"/>
      <c r="Y68" s="11"/>
    </row>
    <row r="69" spans="1:25" ht="14.5" x14ac:dyDescent="0.35">
      <c r="A69" s="4"/>
      <c r="B69" s="4">
        <v>12</v>
      </c>
      <c r="C69" s="19">
        <v>11.3</v>
      </c>
      <c r="D69" s="19">
        <v>11.2</v>
      </c>
      <c r="E69" s="20">
        <v>11.5</v>
      </c>
      <c r="F69" s="21">
        <v>11.2</v>
      </c>
      <c r="G69" s="19">
        <v>11.4</v>
      </c>
      <c r="H69" s="19">
        <v>11.2</v>
      </c>
      <c r="I69" s="20">
        <v>11.1</v>
      </c>
      <c r="J69" s="21">
        <v>11.3</v>
      </c>
      <c r="K69" s="4"/>
      <c r="L69" s="4">
        <v>12</v>
      </c>
      <c r="M69" s="32">
        <f t="shared" si="27"/>
        <v>9.1089324618736391</v>
      </c>
      <c r="N69" s="32">
        <f t="shared" si="28"/>
        <v>9.2701525054466227</v>
      </c>
      <c r="O69" s="32">
        <f t="shared" si="29"/>
        <v>9.1895424836601318</v>
      </c>
      <c r="P69" s="32">
        <f t="shared" si="30"/>
        <v>8.9376361655773433</v>
      </c>
      <c r="Q69" s="22">
        <f t="shared" si="31"/>
        <v>9.1265659041394347</v>
      </c>
      <c r="R69" s="4"/>
      <c r="S69" s="4">
        <v>12</v>
      </c>
      <c r="T69" s="19">
        <f t="shared" si="32"/>
        <v>88.8</v>
      </c>
      <c r="U69" s="19">
        <f t="shared" si="33"/>
        <v>88.8</v>
      </c>
      <c r="V69" s="19">
        <f t="shared" si="34"/>
        <v>88.8</v>
      </c>
      <c r="W69" s="19">
        <f t="shared" si="35"/>
        <v>88.7</v>
      </c>
      <c r="X69" s="11"/>
      <c r="Y69" s="11"/>
    </row>
    <row r="70" spans="1:25" ht="14.5" x14ac:dyDescent="0.35">
      <c r="A70" s="4"/>
      <c r="B70" s="4">
        <v>13</v>
      </c>
      <c r="C70" s="19">
        <v>11.3</v>
      </c>
      <c r="D70" s="19">
        <v>11.3</v>
      </c>
      <c r="E70" s="20">
        <v>11.4</v>
      </c>
      <c r="F70" s="21">
        <v>11.4</v>
      </c>
      <c r="G70" s="19">
        <v>10.4</v>
      </c>
      <c r="H70" s="19">
        <v>11.2</v>
      </c>
      <c r="I70" s="20">
        <v>10.5</v>
      </c>
      <c r="J70" s="21">
        <v>11.3</v>
      </c>
      <c r="K70" s="4"/>
      <c r="L70" s="4">
        <v>13</v>
      </c>
      <c r="M70" s="32">
        <f t="shared" si="27"/>
        <v>9.0986746550472049</v>
      </c>
      <c r="N70" s="32">
        <f t="shared" si="28"/>
        <v>9.1688453159041376</v>
      </c>
      <c r="O70" s="32">
        <f t="shared" si="29"/>
        <v>8.383442265795205</v>
      </c>
      <c r="P70" s="32">
        <f t="shared" si="30"/>
        <v>8.4545206971677551</v>
      </c>
      <c r="Q70" s="22">
        <f t="shared" si="31"/>
        <v>8.7763707334785757</v>
      </c>
      <c r="R70" s="4"/>
      <c r="S70" s="4">
        <v>13</v>
      </c>
      <c r="T70" s="19">
        <f t="shared" si="32"/>
        <v>88.7</v>
      </c>
      <c r="U70" s="19">
        <f t="shared" si="33"/>
        <v>88.6</v>
      </c>
      <c r="V70" s="19">
        <f t="shared" si="34"/>
        <v>88.8</v>
      </c>
      <c r="W70" s="19">
        <f t="shared" si="35"/>
        <v>88.7</v>
      </c>
      <c r="X70" s="11"/>
      <c r="Y70" s="11"/>
    </row>
    <row r="71" spans="1:25" ht="14.5" x14ac:dyDescent="0.35">
      <c r="A71" s="4"/>
      <c r="B71" s="4">
        <v>14</v>
      </c>
      <c r="C71" s="19">
        <v>12.1</v>
      </c>
      <c r="D71" s="19">
        <v>11.5</v>
      </c>
      <c r="E71" s="20">
        <v>11.5</v>
      </c>
      <c r="F71" s="21">
        <v>11.8</v>
      </c>
      <c r="G71" s="19">
        <v>10.6</v>
      </c>
      <c r="H71" s="19">
        <v>12.2</v>
      </c>
      <c r="I71" s="20">
        <v>9.1300000000000008</v>
      </c>
      <c r="J71" s="21">
        <v>11.8</v>
      </c>
      <c r="K71" s="4"/>
      <c r="L71" s="4">
        <v>14</v>
      </c>
      <c r="M71" s="32">
        <f t="shared" si="27"/>
        <v>9.7208605664488008</v>
      </c>
      <c r="N71" s="32">
        <f t="shared" si="28"/>
        <v>9.2075163398692812</v>
      </c>
      <c r="O71" s="32">
        <f t="shared" si="29"/>
        <v>8.4484386347131437</v>
      </c>
      <c r="P71" s="32">
        <f t="shared" si="30"/>
        <v>7.309967320261439</v>
      </c>
      <c r="Q71" s="22">
        <f t="shared" si="31"/>
        <v>8.6716957153231675</v>
      </c>
      <c r="R71" s="4"/>
      <c r="S71" s="4">
        <v>14</v>
      </c>
      <c r="T71" s="19">
        <f t="shared" si="32"/>
        <v>88.5</v>
      </c>
      <c r="U71" s="19">
        <f t="shared" si="33"/>
        <v>88.2</v>
      </c>
      <c r="V71" s="19">
        <f t="shared" si="34"/>
        <v>87.8</v>
      </c>
      <c r="W71" s="19">
        <f t="shared" si="35"/>
        <v>88.2</v>
      </c>
      <c r="X71" s="11"/>
      <c r="Y71" s="11"/>
    </row>
    <row r="72" spans="1:25" ht="14.5" x14ac:dyDescent="0.35">
      <c r="A72" s="4"/>
      <c r="B72" s="4">
        <v>15</v>
      </c>
      <c r="C72" s="19">
        <v>11.3</v>
      </c>
      <c r="D72" s="19">
        <v>11.6</v>
      </c>
      <c r="E72" s="20">
        <v>10.199999999999999</v>
      </c>
      <c r="F72" s="21">
        <v>11</v>
      </c>
      <c r="G72" s="19">
        <v>16.100000000000001</v>
      </c>
      <c r="H72" s="19">
        <v>11.2</v>
      </c>
      <c r="I72" s="20">
        <v>11.1</v>
      </c>
      <c r="J72" s="21">
        <v>11.5</v>
      </c>
      <c r="K72" s="4"/>
      <c r="L72" s="4">
        <v>15</v>
      </c>
      <c r="M72" s="32">
        <f t="shared" si="27"/>
        <v>9.067901234567902</v>
      </c>
      <c r="N72" s="32">
        <f t="shared" si="28"/>
        <v>8.2407407407407405</v>
      </c>
      <c r="O72" s="32">
        <f t="shared" si="29"/>
        <v>12.978213507625272</v>
      </c>
      <c r="P72" s="32">
        <f t="shared" si="30"/>
        <v>8.9174836601307188</v>
      </c>
      <c r="Q72" s="22">
        <f t="shared" si="31"/>
        <v>9.8010847857661592</v>
      </c>
      <c r="R72" s="4"/>
      <c r="S72" s="4">
        <v>15</v>
      </c>
      <c r="T72" s="19">
        <f t="shared" si="32"/>
        <v>88.4</v>
      </c>
      <c r="U72" s="19">
        <f t="shared" si="33"/>
        <v>89</v>
      </c>
      <c r="V72" s="19">
        <f t="shared" si="34"/>
        <v>88.8</v>
      </c>
      <c r="W72" s="19">
        <f t="shared" si="35"/>
        <v>88.5</v>
      </c>
      <c r="X72" s="11"/>
      <c r="Y72" s="11"/>
    </row>
    <row r="73" spans="1:25" ht="14.5" x14ac:dyDescent="0.35">
      <c r="A73" s="4"/>
      <c r="B73" s="4"/>
      <c r="C73" s="43" t="s">
        <v>500</v>
      </c>
      <c r="D73" s="43"/>
      <c r="E73" s="44" t="s">
        <v>501</v>
      </c>
      <c r="F73" s="45"/>
      <c r="G73" s="43" t="s">
        <v>502</v>
      </c>
      <c r="H73" s="43"/>
      <c r="I73" s="44" t="s">
        <v>503</v>
      </c>
      <c r="J73" s="45"/>
      <c r="K73" s="4"/>
      <c r="L73" s="4"/>
      <c r="M73" s="12"/>
      <c r="N73" s="28"/>
      <c r="O73" s="4"/>
      <c r="P73" s="4"/>
      <c r="Q73" s="35">
        <f>AVERAGE(Q58:Q72)</f>
        <v>8.9824698922778978</v>
      </c>
      <c r="R73" s="4"/>
      <c r="S73" s="4"/>
      <c r="T73" s="12"/>
      <c r="U73" s="28"/>
      <c r="V73" s="4"/>
      <c r="W73" s="4"/>
      <c r="X73" s="11"/>
      <c r="Y73" s="11"/>
    </row>
    <row r="74" spans="1:25" ht="14.5" x14ac:dyDescent="0.35">
      <c r="A74" s="4"/>
      <c r="B74" s="4"/>
      <c r="C74" s="23" t="s">
        <v>505</v>
      </c>
      <c r="D74" s="23" t="s">
        <v>506</v>
      </c>
      <c r="E74" s="24" t="s">
        <v>505</v>
      </c>
      <c r="F74" s="25" t="s">
        <v>506</v>
      </c>
      <c r="G74" s="23" t="s">
        <v>505</v>
      </c>
      <c r="H74" s="23" t="s">
        <v>506</v>
      </c>
      <c r="I74" s="24" t="s">
        <v>505</v>
      </c>
      <c r="J74" s="25" t="s">
        <v>506</v>
      </c>
      <c r="K74" s="4"/>
      <c r="L74" s="4"/>
      <c r="M74" s="4" t="s">
        <v>500</v>
      </c>
      <c r="N74" s="4" t="s">
        <v>501</v>
      </c>
      <c r="O74" s="4" t="s">
        <v>502</v>
      </c>
      <c r="P74" s="4" t="s">
        <v>503</v>
      </c>
      <c r="Q74" s="18" t="s">
        <v>507</v>
      </c>
      <c r="R74" s="4"/>
      <c r="S74" s="4"/>
      <c r="T74" s="4" t="s">
        <v>500</v>
      </c>
      <c r="U74" s="4" t="s">
        <v>501</v>
      </c>
      <c r="V74" s="4" t="s">
        <v>502</v>
      </c>
      <c r="W74" s="4" t="s">
        <v>503</v>
      </c>
      <c r="X74" s="11"/>
      <c r="Y74" s="11"/>
    </row>
    <row r="75" spans="1:25" ht="14.5" x14ac:dyDescent="0.35">
      <c r="A75" s="4"/>
      <c r="B75" s="4">
        <v>1</v>
      </c>
      <c r="C75" s="19">
        <v>6.2</v>
      </c>
      <c r="D75" s="19">
        <v>16.399999999999999</v>
      </c>
      <c r="E75" s="20">
        <v>6.04</v>
      </c>
      <c r="F75" s="21">
        <v>10.8</v>
      </c>
      <c r="G75" s="19">
        <v>5.52</v>
      </c>
      <c r="H75" s="19">
        <v>11.8</v>
      </c>
      <c r="I75" s="20">
        <v>4.38</v>
      </c>
      <c r="J75" s="21">
        <v>10.5</v>
      </c>
      <c r="K75" s="4"/>
      <c r="L75" s="4">
        <v>1</v>
      </c>
      <c r="M75" s="32">
        <f>+(((C75*T75)/85)/12.96)*10</f>
        <v>4.7051561365286849</v>
      </c>
      <c r="N75" s="32">
        <f>+(((E75*U75)/85)/12.96)*10</f>
        <v>4.8907770515613649</v>
      </c>
      <c r="O75" s="32">
        <f>+(((G75*V75)/85)/12.96)*10</f>
        <v>4.4196078431372543</v>
      </c>
      <c r="P75" s="32">
        <f>+(((I75*W75)/85)/12.96)*10</f>
        <v>3.5585511982570801</v>
      </c>
      <c r="Q75" s="22">
        <f>AVERAGE(M75:P75)</f>
        <v>4.3935230573710964</v>
      </c>
      <c r="R75" s="4"/>
      <c r="S75" s="4">
        <v>1</v>
      </c>
      <c r="T75" s="19">
        <f>+(100-D75)</f>
        <v>83.6</v>
      </c>
      <c r="U75" s="19">
        <f>+(100-F75)</f>
        <v>89.2</v>
      </c>
      <c r="V75" s="19">
        <f>+(100-H75)</f>
        <v>88.2</v>
      </c>
      <c r="W75" s="19">
        <f>+(100-J75)</f>
        <v>89.5</v>
      </c>
      <c r="X75" s="11"/>
      <c r="Y75" s="11"/>
    </row>
    <row r="76" spans="1:25" ht="14.5" x14ac:dyDescent="0.35">
      <c r="A76" s="4"/>
      <c r="B76" s="4">
        <v>2</v>
      </c>
      <c r="C76" s="19">
        <v>11.1</v>
      </c>
      <c r="D76" s="19">
        <v>11.7</v>
      </c>
      <c r="E76" s="20">
        <v>12</v>
      </c>
      <c r="F76" s="21">
        <v>11.8</v>
      </c>
      <c r="G76" s="19">
        <v>13.1</v>
      </c>
      <c r="H76" s="19">
        <v>12.8</v>
      </c>
      <c r="I76" s="20">
        <v>13</v>
      </c>
      <c r="J76" s="21">
        <v>13.6</v>
      </c>
      <c r="K76" s="4"/>
      <c r="L76" s="4">
        <v>2</v>
      </c>
      <c r="M76" s="32">
        <f t="shared" ref="M76:M89" si="36">+(((C76*T76)/85)/12.96)*10</f>
        <v>8.8973311546840943</v>
      </c>
      <c r="N76" s="32">
        <f t="shared" ref="N76:N89" si="37">+(((E76*U76)/85)/12.96)*10</f>
        <v>9.6078431372549016</v>
      </c>
      <c r="O76" s="32">
        <f t="shared" ref="O76:O89" si="38">+(((G76*V76)/85)/12.96)*10</f>
        <v>10.369644153957879</v>
      </c>
      <c r="P76" s="32">
        <f t="shared" ref="P76:P89" si="39">+(((I76*W76)/85)/12.96)*10</f>
        <v>10.196078431372548</v>
      </c>
      <c r="Q76" s="22">
        <f t="shared" ref="Q76:Q89" si="40">AVERAGE(M76:P76)</f>
        <v>9.7677242193173548</v>
      </c>
      <c r="R76" s="4"/>
      <c r="S76" s="4">
        <v>2</v>
      </c>
      <c r="T76" s="19">
        <f t="shared" ref="T76:T89" si="41">+(100-D76)</f>
        <v>88.3</v>
      </c>
      <c r="U76" s="19">
        <f t="shared" ref="U76:U89" si="42">+(100-F76)</f>
        <v>88.2</v>
      </c>
      <c r="V76" s="19">
        <f t="shared" ref="V76:V89" si="43">+(100-H76)</f>
        <v>87.2</v>
      </c>
      <c r="W76" s="19">
        <f t="shared" ref="W76:W89" si="44">+(100-J76)</f>
        <v>86.4</v>
      </c>
      <c r="X76" s="11"/>
      <c r="Y76" s="11"/>
    </row>
    <row r="77" spans="1:25" ht="14.5" x14ac:dyDescent="0.35">
      <c r="A77" s="4"/>
      <c r="B77" s="4">
        <v>3</v>
      </c>
      <c r="C77" s="19">
        <v>9.67</v>
      </c>
      <c r="D77" s="19">
        <v>11.8</v>
      </c>
      <c r="E77" s="20">
        <v>10.9</v>
      </c>
      <c r="F77" s="21">
        <v>11.3</v>
      </c>
      <c r="G77" s="19">
        <v>11.1</v>
      </c>
      <c r="H77" s="19">
        <v>13</v>
      </c>
      <c r="I77" s="20">
        <v>10.3</v>
      </c>
      <c r="J77" s="21">
        <v>11.9</v>
      </c>
      <c r="K77" s="4"/>
      <c r="L77" s="4">
        <v>3</v>
      </c>
      <c r="M77" s="32">
        <f t="shared" si="36"/>
        <v>7.7423202614379081</v>
      </c>
      <c r="N77" s="32">
        <f t="shared" si="37"/>
        <v>8.77659767610748</v>
      </c>
      <c r="O77" s="32">
        <f t="shared" si="38"/>
        <v>8.7663398692810439</v>
      </c>
      <c r="P77" s="32">
        <f t="shared" si="39"/>
        <v>8.2373819898329685</v>
      </c>
      <c r="Q77" s="22">
        <f t="shared" si="40"/>
        <v>8.3806599491648512</v>
      </c>
      <c r="R77" s="4"/>
      <c r="S77" s="4">
        <v>3</v>
      </c>
      <c r="T77" s="19">
        <f t="shared" si="41"/>
        <v>88.2</v>
      </c>
      <c r="U77" s="19">
        <f t="shared" si="42"/>
        <v>88.7</v>
      </c>
      <c r="V77" s="19">
        <f t="shared" si="43"/>
        <v>87</v>
      </c>
      <c r="W77" s="19">
        <f t="shared" si="44"/>
        <v>88.1</v>
      </c>
      <c r="X77" s="11"/>
      <c r="Y77" s="11"/>
    </row>
    <row r="78" spans="1:25" ht="14.5" x14ac:dyDescent="0.35">
      <c r="A78" s="4"/>
      <c r="B78" s="4">
        <v>4</v>
      </c>
      <c r="C78" s="19">
        <v>10.7</v>
      </c>
      <c r="D78" s="19">
        <v>12.4</v>
      </c>
      <c r="E78" s="20">
        <v>12.3</v>
      </c>
      <c r="F78" s="21">
        <v>12.4</v>
      </c>
      <c r="G78" s="19">
        <v>12.3</v>
      </c>
      <c r="H78" s="19">
        <v>12.4</v>
      </c>
      <c r="I78" s="20">
        <v>11.4</v>
      </c>
      <c r="J78" s="21">
        <v>12.1</v>
      </c>
      <c r="K78" s="4"/>
      <c r="L78" s="4">
        <v>4</v>
      </c>
      <c r="M78" s="32">
        <f t="shared" si="36"/>
        <v>8.5087145969498881</v>
      </c>
      <c r="N78" s="32">
        <f t="shared" si="37"/>
        <v>9.7810457516339859</v>
      </c>
      <c r="O78" s="32">
        <f t="shared" si="38"/>
        <v>9.7810457516339859</v>
      </c>
      <c r="P78" s="32">
        <f t="shared" si="39"/>
        <v>9.0964052287581705</v>
      </c>
      <c r="Q78" s="22">
        <f t="shared" si="40"/>
        <v>9.2918028322440076</v>
      </c>
      <c r="R78" s="4"/>
      <c r="S78" s="4">
        <v>4</v>
      </c>
      <c r="T78" s="19">
        <f t="shared" si="41"/>
        <v>87.6</v>
      </c>
      <c r="U78" s="19">
        <f t="shared" si="42"/>
        <v>87.6</v>
      </c>
      <c r="V78" s="19">
        <f t="shared" si="43"/>
        <v>87.6</v>
      </c>
      <c r="W78" s="19">
        <f t="shared" si="44"/>
        <v>87.9</v>
      </c>
      <c r="X78" s="11"/>
      <c r="Y78" s="11"/>
    </row>
    <row r="79" spans="1:25" ht="14.5" x14ac:dyDescent="0.35">
      <c r="A79" s="4"/>
      <c r="B79" s="4">
        <v>5</v>
      </c>
      <c r="C79" s="19">
        <v>9.94</v>
      </c>
      <c r="D79" s="19">
        <v>12.7</v>
      </c>
      <c r="E79" s="20">
        <v>11.1</v>
      </c>
      <c r="F79" s="21">
        <v>12.7</v>
      </c>
      <c r="G79" s="19">
        <v>12.3</v>
      </c>
      <c r="H79" s="19">
        <v>12.5</v>
      </c>
      <c r="I79" s="20">
        <v>11.7</v>
      </c>
      <c r="J79" s="21">
        <v>11.4</v>
      </c>
      <c r="K79" s="4"/>
      <c r="L79" s="4">
        <v>5</v>
      </c>
      <c r="M79" s="32">
        <f t="shared" si="36"/>
        <v>7.8772875816993446</v>
      </c>
      <c r="N79" s="32">
        <f t="shared" si="37"/>
        <v>8.7965686274509789</v>
      </c>
      <c r="O79" s="32">
        <f t="shared" si="38"/>
        <v>9.7698801742919379</v>
      </c>
      <c r="P79" s="32">
        <f t="shared" si="39"/>
        <v>9.4101307189542478</v>
      </c>
      <c r="Q79" s="22">
        <f t="shared" si="40"/>
        <v>8.9634667755991266</v>
      </c>
      <c r="R79" s="4"/>
      <c r="S79" s="4">
        <v>5</v>
      </c>
      <c r="T79" s="19">
        <f t="shared" si="41"/>
        <v>87.3</v>
      </c>
      <c r="U79" s="19">
        <f t="shared" si="42"/>
        <v>87.3</v>
      </c>
      <c r="V79" s="19">
        <f t="shared" si="43"/>
        <v>87.5</v>
      </c>
      <c r="W79" s="19">
        <f t="shared" si="44"/>
        <v>88.6</v>
      </c>
      <c r="X79" s="11"/>
      <c r="Y79" s="11"/>
    </row>
    <row r="80" spans="1:25" ht="14.5" x14ac:dyDescent="0.35">
      <c r="A80" s="14" t="s">
        <v>516</v>
      </c>
      <c r="B80" s="4">
        <v>6</v>
      </c>
      <c r="C80" s="19">
        <v>10.3</v>
      </c>
      <c r="D80" s="19">
        <v>12.6</v>
      </c>
      <c r="E80" s="20">
        <v>10.8</v>
      </c>
      <c r="F80" s="21">
        <v>12.3</v>
      </c>
      <c r="G80" s="19">
        <v>12</v>
      </c>
      <c r="H80" s="19">
        <v>12.7</v>
      </c>
      <c r="I80" s="20">
        <v>10.3</v>
      </c>
      <c r="J80" s="21">
        <v>12.2</v>
      </c>
      <c r="K80" s="14" t="s">
        <v>516</v>
      </c>
      <c r="L80" s="4">
        <v>6</v>
      </c>
      <c r="M80" s="32">
        <f t="shared" si="36"/>
        <v>8.1719317356572265</v>
      </c>
      <c r="N80" s="32">
        <f t="shared" si="37"/>
        <v>8.5980392156862742</v>
      </c>
      <c r="O80" s="32">
        <f t="shared" si="38"/>
        <v>9.5098039215686274</v>
      </c>
      <c r="P80" s="32">
        <f t="shared" si="39"/>
        <v>8.2093318809005087</v>
      </c>
      <c r="Q80" s="22">
        <f t="shared" si="40"/>
        <v>8.6222766884531588</v>
      </c>
      <c r="R80" s="14" t="s">
        <v>516</v>
      </c>
      <c r="S80" s="4">
        <v>6</v>
      </c>
      <c r="T80" s="19">
        <f t="shared" si="41"/>
        <v>87.4</v>
      </c>
      <c r="U80" s="19">
        <f t="shared" si="42"/>
        <v>87.7</v>
      </c>
      <c r="V80" s="19">
        <f t="shared" si="43"/>
        <v>87.3</v>
      </c>
      <c r="W80" s="19">
        <f t="shared" si="44"/>
        <v>87.8</v>
      </c>
      <c r="X80" s="11"/>
      <c r="Y80" s="11"/>
    </row>
    <row r="81" spans="1:25" ht="14.5" x14ac:dyDescent="0.35">
      <c r="A81" s="4" t="s">
        <v>517</v>
      </c>
      <c r="B81" s="4">
        <v>7</v>
      </c>
      <c r="C81" s="19">
        <v>11.6</v>
      </c>
      <c r="D81" s="19">
        <v>12.4</v>
      </c>
      <c r="E81" s="20">
        <v>11.8</v>
      </c>
      <c r="F81" s="21">
        <v>12.2</v>
      </c>
      <c r="G81" s="19">
        <v>12.8</v>
      </c>
      <c r="H81" s="19">
        <v>12.1</v>
      </c>
      <c r="I81" s="20">
        <v>12.3</v>
      </c>
      <c r="J81" s="21">
        <v>11.8</v>
      </c>
      <c r="K81" s="4" t="s">
        <v>517</v>
      </c>
      <c r="L81" s="4">
        <v>7</v>
      </c>
      <c r="M81" s="32">
        <f t="shared" si="36"/>
        <v>9.224400871459693</v>
      </c>
      <c r="N81" s="32">
        <f t="shared" si="37"/>
        <v>9.4048656499636891</v>
      </c>
      <c r="O81" s="32">
        <f t="shared" si="38"/>
        <v>10.213507625272332</v>
      </c>
      <c r="P81" s="32">
        <f t="shared" si="39"/>
        <v>9.8480392156862742</v>
      </c>
      <c r="Q81" s="22">
        <f t="shared" si="40"/>
        <v>9.672703340595497</v>
      </c>
      <c r="R81" s="4" t="s">
        <v>517</v>
      </c>
      <c r="S81" s="4">
        <v>7</v>
      </c>
      <c r="T81" s="19">
        <f t="shared" si="41"/>
        <v>87.6</v>
      </c>
      <c r="U81" s="19">
        <f t="shared" si="42"/>
        <v>87.8</v>
      </c>
      <c r="V81" s="19">
        <f t="shared" si="43"/>
        <v>87.9</v>
      </c>
      <c r="W81" s="19">
        <f t="shared" si="44"/>
        <v>88.2</v>
      </c>
      <c r="X81" s="11"/>
      <c r="Y81" s="11"/>
    </row>
    <row r="82" spans="1:25" ht="14.5" x14ac:dyDescent="0.35">
      <c r="A82" s="4"/>
      <c r="B82" s="4">
        <v>8</v>
      </c>
      <c r="C82" s="19">
        <v>10.199999999999999</v>
      </c>
      <c r="D82" s="19">
        <v>12.4</v>
      </c>
      <c r="E82" s="20">
        <v>11</v>
      </c>
      <c r="F82" s="21">
        <v>12.5</v>
      </c>
      <c r="G82" s="19">
        <v>10.4</v>
      </c>
      <c r="H82" s="19">
        <v>12.2</v>
      </c>
      <c r="I82" s="20">
        <v>11</v>
      </c>
      <c r="J82" s="21">
        <v>13.2</v>
      </c>
      <c r="K82" s="4"/>
      <c r="L82" s="4">
        <v>8</v>
      </c>
      <c r="M82" s="32">
        <f t="shared" si="36"/>
        <v>8.1111111111111107</v>
      </c>
      <c r="N82" s="32">
        <f t="shared" si="37"/>
        <v>8.7372912127814075</v>
      </c>
      <c r="O82" s="32">
        <f t="shared" si="38"/>
        <v>8.2890341321713876</v>
      </c>
      <c r="P82" s="32">
        <f t="shared" si="39"/>
        <v>8.667392883079156</v>
      </c>
      <c r="Q82" s="22">
        <f t="shared" si="40"/>
        <v>8.4512073347857655</v>
      </c>
      <c r="R82" s="4"/>
      <c r="S82" s="4">
        <v>8</v>
      </c>
      <c r="T82" s="19">
        <f t="shared" si="41"/>
        <v>87.6</v>
      </c>
      <c r="U82" s="19">
        <f t="shared" si="42"/>
        <v>87.5</v>
      </c>
      <c r="V82" s="19">
        <f t="shared" si="43"/>
        <v>87.8</v>
      </c>
      <c r="W82" s="19">
        <f t="shared" si="44"/>
        <v>86.8</v>
      </c>
      <c r="X82" s="11"/>
      <c r="Y82" s="11"/>
    </row>
    <row r="83" spans="1:25" ht="14.5" x14ac:dyDescent="0.35">
      <c r="A83" s="4"/>
      <c r="B83" s="4">
        <v>9</v>
      </c>
      <c r="C83" s="19">
        <v>11.1</v>
      </c>
      <c r="D83" s="19">
        <v>13.3</v>
      </c>
      <c r="E83" s="20">
        <v>12.5</v>
      </c>
      <c r="F83" s="21">
        <v>12.7</v>
      </c>
      <c r="G83" s="19">
        <v>13.3</v>
      </c>
      <c r="H83" s="19">
        <v>12.9</v>
      </c>
      <c r="I83" s="20">
        <v>13</v>
      </c>
      <c r="J83" s="21">
        <v>13.9</v>
      </c>
      <c r="K83" s="4"/>
      <c r="L83" s="4">
        <v>9</v>
      </c>
      <c r="M83" s="32">
        <f t="shared" si="36"/>
        <v>8.7361111111111107</v>
      </c>
      <c r="N83" s="32">
        <f t="shared" si="37"/>
        <v>9.9060457516339859</v>
      </c>
      <c r="O83" s="32">
        <f t="shared" si="38"/>
        <v>10.515885984023239</v>
      </c>
      <c r="P83" s="32">
        <f t="shared" si="39"/>
        <v>10.160675381263616</v>
      </c>
      <c r="Q83" s="22">
        <f t="shared" si="40"/>
        <v>9.8296795570079887</v>
      </c>
      <c r="R83" s="4"/>
      <c r="S83" s="4">
        <v>9</v>
      </c>
      <c r="T83" s="19">
        <f t="shared" si="41"/>
        <v>86.7</v>
      </c>
      <c r="U83" s="19">
        <f t="shared" si="42"/>
        <v>87.3</v>
      </c>
      <c r="V83" s="19">
        <f t="shared" si="43"/>
        <v>87.1</v>
      </c>
      <c r="W83" s="19">
        <f t="shared" si="44"/>
        <v>86.1</v>
      </c>
      <c r="X83" s="11"/>
      <c r="Y83" s="11"/>
    </row>
    <row r="84" spans="1:25" ht="14.5" x14ac:dyDescent="0.35">
      <c r="A84" s="4"/>
      <c r="B84" s="4">
        <v>10</v>
      </c>
      <c r="C84" s="19">
        <v>9.64</v>
      </c>
      <c r="D84" s="19">
        <v>12.3</v>
      </c>
      <c r="E84" s="20">
        <v>11.1</v>
      </c>
      <c r="F84" s="21">
        <v>12.3</v>
      </c>
      <c r="G84" s="19">
        <v>11.4</v>
      </c>
      <c r="H84" s="19">
        <v>13</v>
      </c>
      <c r="I84" s="20">
        <v>12.3</v>
      </c>
      <c r="J84" s="21">
        <v>13.4</v>
      </c>
      <c r="K84" s="4"/>
      <c r="L84" s="4">
        <v>10</v>
      </c>
      <c r="M84" s="32">
        <f t="shared" si="36"/>
        <v>7.6745461147421947</v>
      </c>
      <c r="N84" s="32">
        <f t="shared" si="37"/>
        <v>8.8368736383442261</v>
      </c>
      <c r="O84" s="32">
        <f t="shared" si="38"/>
        <v>9.0032679738562091</v>
      </c>
      <c r="P84" s="32">
        <f t="shared" si="39"/>
        <v>9.6693899782135073</v>
      </c>
      <c r="Q84" s="22">
        <f t="shared" si="40"/>
        <v>8.7960194262890354</v>
      </c>
      <c r="R84" s="4"/>
      <c r="S84" s="4">
        <v>10</v>
      </c>
      <c r="T84" s="19">
        <f t="shared" si="41"/>
        <v>87.7</v>
      </c>
      <c r="U84" s="19">
        <f t="shared" si="42"/>
        <v>87.7</v>
      </c>
      <c r="V84" s="19">
        <f t="shared" si="43"/>
        <v>87</v>
      </c>
      <c r="W84" s="19">
        <f t="shared" si="44"/>
        <v>86.6</v>
      </c>
      <c r="X84" s="11"/>
      <c r="Y84" s="11"/>
    </row>
    <row r="85" spans="1:25" ht="14.5" x14ac:dyDescent="0.35">
      <c r="A85" s="4"/>
      <c r="B85" s="4">
        <v>11</v>
      </c>
      <c r="C85" s="19">
        <v>11.1</v>
      </c>
      <c r="D85" s="19">
        <v>12.4</v>
      </c>
      <c r="E85" s="20">
        <v>10.7</v>
      </c>
      <c r="F85" s="21">
        <v>13</v>
      </c>
      <c r="G85" s="19">
        <v>13.1</v>
      </c>
      <c r="H85" s="19">
        <v>13.2</v>
      </c>
      <c r="I85" s="20">
        <v>12</v>
      </c>
      <c r="J85" s="21">
        <v>12.9</v>
      </c>
      <c r="K85" s="4"/>
      <c r="L85" s="4">
        <v>11</v>
      </c>
      <c r="M85" s="32">
        <f t="shared" si="36"/>
        <v>8.8267973856209139</v>
      </c>
      <c r="N85" s="32">
        <f t="shared" si="37"/>
        <v>8.4504357298474932</v>
      </c>
      <c r="O85" s="32">
        <f t="shared" si="38"/>
        <v>10.322076978939723</v>
      </c>
      <c r="P85" s="32">
        <f t="shared" si="39"/>
        <v>9.4880174291938975</v>
      </c>
      <c r="Q85" s="22">
        <f t="shared" si="40"/>
        <v>9.2718318809005069</v>
      </c>
      <c r="R85" s="4"/>
      <c r="S85" s="4">
        <v>11</v>
      </c>
      <c r="T85" s="19">
        <f t="shared" si="41"/>
        <v>87.6</v>
      </c>
      <c r="U85" s="19">
        <f t="shared" si="42"/>
        <v>87</v>
      </c>
      <c r="V85" s="19">
        <f t="shared" si="43"/>
        <v>86.8</v>
      </c>
      <c r="W85" s="19">
        <f t="shared" si="44"/>
        <v>87.1</v>
      </c>
      <c r="X85" s="11"/>
      <c r="Y85" s="11"/>
    </row>
    <row r="86" spans="1:25" ht="14.5" x14ac:dyDescent="0.35">
      <c r="A86" s="4"/>
      <c r="B86" s="4">
        <v>12</v>
      </c>
      <c r="C86" s="19">
        <v>10.1</v>
      </c>
      <c r="D86" s="19">
        <v>11.6</v>
      </c>
      <c r="E86" s="20">
        <v>10.199999999999999</v>
      </c>
      <c r="F86" s="21">
        <v>11.6</v>
      </c>
      <c r="G86" s="19">
        <v>10.5</v>
      </c>
      <c r="H86" s="19">
        <v>12</v>
      </c>
      <c r="I86" s="20">
        <v>10.5</v>
      </c>
      <c r="J86" s="21">
        <v>12.3</v>
      </c>
      <c r="K86" s="4"/>
      <c r="L86" s="4">
        <v>12</v>
      </c>
      <c r="M86" s="32">
        <f t="shared" si="36"/>
        <v>8.1049382716049383</v>
      </c>
      <c r="N86" s="32">
        <f t="shared" si="37"/>
        <v>8.1851851851851833</v>
      </c>
      <c r="O86" s="32">
        <f t="shared" si="38"/>
        <v>8.3877995642701517</v>
      </c>
      <c r="P86" s="32">
        <f t="shared" si="39"/>
        <v>8.3592047930283222</v>
      </c>
      <c r="Q86" s="22">
        <f t="shared" si="40"/>
        <v>8.259281953522148</v>
      </c>
      <c r="R86" s="4"/>
      <c r="S86" s="4">
        <v>12</v>
      </c>
      <c r="T86" s="19">
        <f t="shared" si="41"/>
        <v>88.4</v>
      </c>
      <c r="U86" s="19">
        <f t="shared" si="42"/>
        <v>88.4</v>
      </c>
      <c r="V86" s="19">
        <f t="shared" si="43"/>
        <v>88</v>
      </c>
      <c r="W86" s="19">
        <f t="shared" si="44"/>
        <v>87.7</v>
      </c>
      <c r="X86" s="11"/>
      <c r="Y86" s="11"/>
    </row>
    <row r="87" spans="1:25" ht="14.5" x14ac:dyDescent="0.35">
      <c r="A87" s="4"/>
      <c r="B87" s="4">
        <v>13</v>
      </c>
      <c r="C87" s="19">
        <v>10.1</v>
      </c>
      <c r="D87" s="19">
        <v>11.7</v>
      </c>
      <c r="E87" s="20">
        <v>10.199999999999999</v>
      </c>
      <c r="F87" s="21">
        <v>11.6</v>
      </c>
      <c r="G87" s="19">
        <v>12</v>
      </c>
      <c r="H87" s="19">
        <v>10.9</v>
      </c>
      <c r="I87" s="20">
        <v>9.89</v>
      </c>
      <c r="J87" s="21">
        <v>11.8</v>
      </c>
      <c r="K87" s="4"/>
      <c r="L87" s="4">
        <v>13</v>
      </c>
      <c r="M87" s="32">
        <f t="shared" si="36"/>
        <v>8.0957697893972398</v>
      </c>
      <c r="N87" s="32">
        <f t="shared" si="37"/>
        <v>8.1851851851851833</v>
      </c>
      <c r="O87" s="32">
        <f t="shared" si="38"/>
        <v>9.705882352941174</v>
      </c>
      <c r="P87" s="32">
        <f t="shared" si="39"/>
        <v>7.9184640522875815</v>
      </c>
      <c r="Q87" s="22">
        <f t="shared" si="40"/>
        <v>8.4763253449527944</v>
      </c>
      <c r="R87" s="4"/>
      <c r="S87" s="4">
        <v>13</v>
      </c>
      <c r="T87" s="19">
        <f t="shared" si="41"/>
        <v>88.3</v>
      </c>
      <c r="U87" s="19">
        <f t="shared" si="42"/>
        <v>88.4</v>
      </c>
      <c r="V87" s="19">
        <f t="shared" si="43"/>
        <v>89.1</v>
      </c>
      <c r="W87" s="19">
        <f t="shared" si="44"/>
        <v>88.2</v>
      </c>
      <c r="X87" s="11"/>
      <c r="Y87" s="11"/>
    </row>
    <row r="88" spans="1:25" ht="14.5" x14ac:dyDescent="0.35">
      <c r="A88" s="4"/>
      <c r="B88" s="4">
        <v>14</v>
      </c>
      <c r="C88" s="19">
        <v>9.99</v>
      </c>
      <c r="D88" s="19">
        <v>12</v>
      </c>
      <c r="E88" s="20">
        <v>9.6199999999999992</v>
      </c>
      <c r="F88" s="21">
        <v>12.1</v>
      </c>
      <c r="G88" s="19">
        <v>12.9</v>
      </c>
      <c r="H88" s="19">
        <v>16.5</v>
      </c>
      <c r="I88" s="20">
        <v>11.3</v>
      </c>
      <c r="J88" s="21">
        <v>13.4</v>
      </c>
      <c r="K88" s="4"/>
      <c r="L88" s="4">
        <v>14</v>
      </c>
      <c r="M88" s="32">
        <f t="shared" si="36"/>
        <v>7.9803921568627443</v>
      </c>
      <c r="N88" s="32">
        <f t="shared" si="37"/>
        <v>7.6760893246187356</v>
      </c>
      <c r="O88" s="32">
        <f t="shared" si="38"/>
        <v>9.7780501089324616</v>
      </c>
      <c r="P88" s="32">
        <f t="shared" si="39"/>
        <v>8.883260711692083</v>
      </c>
      <c r="Q88" s="22">
        <f t="shared" si="40"/>
        <v>8.5794480755265052</v>
      </c>
      <c r="R88" s="4"/>
      <c r="S88" s="4">
        <v>14</v>
      </c>
      <c r="T88" s="19">
        <f t="shared" si="41"/>
        <v>88</v>
      </c>
      <c r="U88" s="19">
        <f t="shared" si="42"/>
        <v>87.9</v>
      </c>
      <c r="V88" s="19">
        <f t="shared" si="43"/>
        <v>83.5</v>
      </c>
      <c r="W88" s="19">
        <f t="shared" si="44"/>
        <v>86.6</v>
      </c>
      <c r="X88" s="11"/>
      <c r="Y88" s="11"/>
    </row>
    <row r="89" spans="1:25" ht="14.5" x14ac:dyDescent="0.35">
      <c r="A89" s="4"/>
      <c r="B89" s="4">
        <v>15</v>
      </c>
      <c r="C89" s="19">
        <v>9.9700000000000006</v>
      </c>
      <c r="D89" s="19">
        <v>11.3</v>
      </c>
      <c r="E89" s="20">
        <v>9.0399999999999991</v>
      </c>
      <c r="F89" s="21">
        <v>12.1</v>
      </c>
      <c r="G89" s="19">
        <v>12</v>
      </c>
      <c r="H89" s="19">
        <v>13.1</v>
      </c>
      <c r="I89" s="20">
        <v>9.9</v>
      </c>
      <c r="J89" s="21">
        <v>12.6</v>
      </c>
      <c r="K89" s="4"/>
      <c r="L89" s="4">
        <v>15</v>
      </c>
      <c r="M89" s="32">
        <f t="shared" si="36"/>
        <v>8.0277687000726221</v>
      </c>
      <c r="N89" s="32">
        <f t="shared" si="37"/>
        <v>7.2132897603485837</v>
      </c>
      <c r="O89" s="32">
        <f t="shared" si="38"/>
        <v>9.4662309368191728</v>
      </c>
      <c r="P89" s="32">
        <f t="shared" si="39"/>
        <v>7.8545751633986924</v>
      </c>
      <c r="Q89" s="22">
        <f t="shared" si="40"/>
        <v>8.1404661401597682</v>
      </c>
      <c r="R89" s="4"/>
      <c r="S89" s="4">
        <v>15</v>
      </c>
      <c r="T89" s="19">
        <f t="shared" si="41"/>
        <v>88.7</v>
      </c>
      <c r="U89" s="19">
        <f t="shared" si="42"/>
        <v>87.9</v>
      </c>
      <c r="V89" s="19">
        <f t="shared" si="43"/>
        <v>86.9</v>
      </c>
      <c r="W89" s="19">
        <f t="shared" si="44"/>
        <v>87.4</v>
      </c>
      <c r="X89" s="11"/>
      <c r="Y89" s="11"/>
    </row>
    <row r="90" spans="1:25" ht="14.5" x14ac:dyDescent="0.35">
      <c r="A90" s="4"/>
      <c r="B90" s="4"/>
      <c r="C90" s="43" t="s">
        <v>500</v>
      </c>
      <c r="D90" s="43"/>
      <c r="E90" s="44" t="s">
        <v>501</v>
      </c>
      <c r="F90" s="45"/>
      <c r="G90" s="43" t="s">
        <v>502</v>
      </c>
      <c r="H90" s="43"/>
      <c r="I90" s="44" t="s">
        <v>503</v>
      </c>
      <c r="J90" s="45"/>
      <c r="K90" s="4"/>
      <c r="L90" s="4"/>
      <c r="M90" s="19"/>
      <c r="N90" s="19"/>
      <c r="O90" s="19"/>
      <c r="P90" s="19"/>
      <c r="Q90" s="35">
        <f>AVERAGE(Q75:Q89)</f>
        <v>8.593094438392642</v>
      </c>
      <c r="R90" s="4"/>
      <c r="S90" s="4"/>
      <c r="T90" s="19"/>
      <c r="U90" s="19"/>
      <c r="V90" s="19"/>
      <c r="W90" s="19"/>
      <c r="X90" s="11"/>
      <c r="Y90" s="11"/>
    </row>
    <row r="91" spans="1:25" ht="14.5" x14ac:dyDescent="0.35">
      <c r="A91" s="4"/>
      <c r="B91" s="4"/>
      <c r="C91" s="23" t="s">
        <v>505</v>
      </c>
      <c r="D91" s="23" t="s">
        <v>506</v>
      </c>
      <c r="E91" s="24" t="s">
        <v>505</v>
      </c>
      <c r="F91" s="25" t="s">
        <v>506</v>
      </c>
      <c r="G91" s="23" t="s">
        <v>505</v>
      </c>
      <c r="H91" s="23" t="s">
        <v>506</v>
      </c>
      <c r="I91" s="24" t="s">
        <v>505</v>
      </c>
      <c r="J91" s="25" t="s">
        <v>506</v>
      </c>
      <c r="K91" s="4"/>
      <c r="L91" s="4"/>
      <c r="M91" s="4" t="s">
        <v>500</v>
      </c>
      <c r="N91" s="4" t="s">
        <v>501</v>
      </c>
      <c r="O91" s="4" t="s">
        <v>502</v>
      </c>
      <c r="P91" s="4" t="s">
        <v>503</v>
      </c>
      <c r="Q91" s="18" t="s">
        <v>507</v>
      </c>
      <c r="R91" s="4"/>
      <c r="S91" s="4"/>
      <c r="T91" s="4" t="s">
        <v>500</v>
      </c>
      <c r="U91" s="4" t="s">
        <v>501</v>
      </c>
      <c r="V91" s="4" t="s">
        <v>502</v>
      </c>
      <c r="W91" s="4" t="s">
        <v>503</v>
      </c>
      <c r="X91" s="11"/>
      <c r="Y91" s="11"/>
    </row>
    <row r="92" spans="1:25" ht="14.5" x14ac:dyDescent="0.35">
      <c r="A92" s="4"/>
      <c r="B92" s="4">
        <v>1</v>
      </c>
      <c r="C92" s="19">
        <v>5.5</v>
      </c>
      <c r="D92" s="19">
        <v>10.5</v>
      </c>
      <c r="E92" s="20">
        <v>6.71</v>
      </c>
      <c r="F92" s="21">
        <v>13.3</v>
      </c>
      <c r="G92" s="19">
        <v>5.55</v>
      </c>
      <c r="H92" s="19">
        <v>12.2</v>
      </c>
      <c r="I92" s="20">
        <v>4.84</v>
      </c>
      <c r="J92" s="21">
        <v>11.5</v>
      </c>
      <c r="K92" s="4"/>
      <c r="L92" s="4">
        <v>1</v>
      </c>
      <c r="M92" s="32">
        <f>+(((C92*T92)/85)/12.96)*10</f>
        <v>4.4685003631082063</v>
      </c>
      <c r="N92" s="32">
        <f>+(((E92*U92)/85)/12.96)*10</f>
        <v>5.2810185185185183</v>
      </c>
      <c r="O92" s="32">
        <f>+(((G92*V92)/85)/12.96)*10</f>
        <v>4.4234749455337683</v>
      </c>
      <c r="P92" s="32">
        <f>+(((I92*W92)/85)/12.96)*10</f>
        <v>3.8883442265795196</v>
      </c>
      <c r="Q92" s="22">
        <f>AVERAGE(M92:P92)</f>
        <v>4.5153345134350031</v>
      </c>
      <c r="R92" s="4"/>
      <c r="S92" s="4">
        <v>1</v>
      </c>
      <c r="T92" s="19">
        <f>+(100-D92)</f>
        <v>89.5</v>
      </c>
      <c r="U92" s="19">
        <f>+(100-F92)</f>
        <v>86.7</v>
      </c>
      <c r="V92" s="19">
        <f>+(100-H92)</f>
        <v>87.8</v>
      </c>
      <c r="W92" s="19">
        <f>+(100-J92)</f>
        <v>88.5</v>
      </c>
      <c r="X92" s="11"/>
      <c r="Y92" s="11"/>
    </row>
    <row r="93" spans="1:25" ht="14.5" x14ac:dyDescent="0.35">
      <c r="A93" s="4"/>
      <c r="B93" s="4">
        <v>2</v>
      </c>
      <c r="C93" s="19">
        <v>11.8</v>
      </c>
      <c r="D93" s="19">
        <v>11.5</v>
      </c>
      <c r="E93" s="20">
        <v>12.7</v>
      </c>
      <c r="F93" s="21">
        <v>11.9</v>
      </c>
      <c r="G93" s="19">
        <v>13.3</v>
      </c>
      <c r="H93" s="19">
        <v>12.6</v>
      </c>
      <c r="I93" s="20">
        <v>13.6</v>
      </c>
      <c r="J93" s="21">
        <v>13.1</v>
      </c>
      <c r="K93" s="4"/>
      <c r="L93" s="4">
        <v>2</v>
      </c>
      <c r="M93" s="32">
        <f t="shared" ref="M93:M106" si="45">+(((C93*T93)/85)/12.96)*10</f>
        <v>9.4798474945533755</v>
      </c>
      <c r="N93" s="32">
        <f t="shared" ref="N93:N106" si="46">+(((E93*U93)/85)/12.96)*10</f>
        <v>10.156771968046476</v>
      </c>
      <c r="O93" s="32">
        <f t="shared" ref="O93:O106" si="47">+(((G93*V93)/85)/12.96)*10</f>
        <v>10.552106027596224</v>
      </c>
      <c r="P93" s="32">
        <f t="shared" ref="P93:P106" si="48">+(((I93*W93)/85)/12.96)*10</f>
        <v>10.728395061728396</v>
      </c>
      <c r="Q93" s="22">
        <f t="shared" ref="Q93:Q106" si="49">AVERAGE(M93:P93)</f>
        <v>10.229280137981117</v>
      </c>
      <c r="R93" s="4"/>
      <c r="S93" s="4">
        <v>2</v>
      </c>
      <c r="T93" s="19">
        <f t="shared" ref="T93:T106" si="50">+(100-D93)</f>
        <v>88.5</v>
      </c>
      <c r="U93" s="19">
        <f t="shared" ref="U93:U106" si="51">+(100-F93)</f>
        <v>88.1</v>
      </c>
      <c r="V93" s="19">
        <f t="shared" ref="V93:V106" si="52">+(100-H93)</f>
        <v>87.4</v>
      </c>
      <c r="W93" s="19">
        <f t="shared" ref="W93:W106" si="53">+(100-J93)</f>
        <v>86.9</v>
      </c>
      <c r="X93" s="11"/>
      <c r="Y93" s="11"/>
    </row>
    <row r="94" spans="1:25" ht="14.5" x14ac:dyDescent="0.35">
      <c r="A94" s="4"/>
      <c r="B94" s="4">
        <v>3</v>
      </c>
      <c r="C94" s="19">
        <v>10.3</v>
      </c>
      <c r="D94" s="19">
        <v>11.3</v>
      </c>
      <c r="E94" s="20">
        <v>11.1</v>
      </c>
      <c r="F94" s="21">
        <v>11.4</v>
      </c>
      <c r="G94" s="19">
        <v>11.3</v>
      </c>
      <c r="H94" s="19">
        <v>12.4</v>
      </c>
      <c r="I94" s="20">
        <v>11.4</v>
      </c>
      <c r="J94" s="21">
        <v>12.2</v>
      </c>
      <c r="K94" s="4"/>
      <c r="L94" s="4">
        <v>3</v>
      </c>
      <c r="M94" s="32">
        <f t="shared" si="45"/>
        <v>8.2934822076978953</v>
      </c>
      <c r="N94" s="32">
        <f t="shared" si="46"/>
        <v>8.9275599128540293</v>
      </c>
      <c r="O94" s="32">
        <f t="shared" si="47"/>
        <v>8.9858387799564259</v>
      </c>
      <c r="P94" s="32">
        <f t="shared" si="48"/>
        <v>9.0860566448801734</v>
      </c>
      <c r="Q94" s="22">
        <f t="shared" si="49"/>
        <v>8.8232343863471314</v>
      </c>
      <c r="R94" s="4"/>
      <c r="S94" s="4">
        <v>3</v>
      </c>
      <c r="T94" s="19">
        <f t="shared" si="50"/>
        <v>88.7</v>
      </c>
      <c r="U94" s="19">
        <f t="shared" si="51"/>
        <v>88.6</v>
      </c>
      <c r="V94" s="19">
        <f t="shared" si="52"/>
        <v>87.6</v>
      </c>
      <c r="W94" s="19">
        <f t="shared" si="53"/>
        <v>87.8</v>
      </c>
      <c r="X94" s="11"/>
      <c r="Y94" s="11"/>
    </row>
    <row r="95" spans="1:25" ht="14.5" x14ac:dyDescent="0.35">
      <c r="A95" s="4"/>
      <c r="B95" s="4">
        <v>4</v>
      </c>
      <c r="C95" s="19">
        <v>12.1</v>
      </c>
      <c r="D95" s="19">
        <v>12.2</v>
      </c>
      <c r="E95" s="20">
        <v>12.7</v>
      </c>
      <c r="F95" s="21">
        <v>11.2</v>
      </c>
      <c r="G95" s="19">
        <v>12.1</v>
      </c>
      <c r="H95" s="19">
        <v>12.1</v>
      </c>
      <c r="I95" s="20">
        <v>12.3</v>
      </c>
      <c r="J95" s="21">
        <v>11.8</v>
      </c>
      <c r="K95" s="4"/>
      <c r="L95" s="4">
        <v>4</v>
      </c>
      <c r="M95" s="32">
        <f t="shared" si="45"/>
        <v>9.6439724037763241</v>
      </c>
      <c r="N95" s="32">
        <f t="shared" si="46"/>
        <v>10.23747276688453</v>
      </c>
      <c r="O95" s="32">
        <f t="shared" si="47"/>
        <v>9.6549564270152519</v>
      </c>
      <c r="P95" s="32">
        <f t="shared" si="48"/>
        <v>9.8480392156862742</v>
      </c>
      <c r="Q95" s="22">
        <f t="shared" si="49"/>
        <v>9.8461102033405936</v>
      </c>
      <c r="R95" s="4"/>
      <c r="S95" s="4">
        <v>4</v>
      </c>
      <c r="T95" s="19">
        <f t="shared" si="50"/>
        <v>87.8</v>
      </c>
      <c r="U95" s="19">
        <f t="shared" si="51"/>
        <v>88.8</v>
      </c>
      <c r="V95" s="19">
        <f t="shared" si="52"/>
        <v>87.9</v>
      </c>
      <c r="W95" s="19">
        <f t="shared" si="53"/>
        <v>88.2</v>
      </c>
      <c r="X95" s="11"/>
      <c r="Y95" s="11"/>
    </row>
    <row r="96" spans="1:25" ht="14.5" x14ac:dyDescent="0.35">
      <c r="A96" s="4"/>
      <c r="B96" s="4">
        <v>5</v>
      </c>
      <c r="C96" s="19">
        <v>11.1</v>
      </c>
      <c r="D96" s="19">
        <v>12.8</v>
      </c>
      <c r="E96" s="20">
        <v>11.5</v>
      </c>
      <c r="F96" s="21">
        <v>12.9</v>
      </c>
      <c r="G96" s="19">
        <v>11.6</v>
      </c>
      <c r="H96" s="19">
        <v>12.6</v>
      </c>
      <c r="I96" s="20">
        <v>12</v>
      </c>
      <c r="J96" s="21">
        <v>12.3</v>
      </c>
      <c r="K96" s="4"/>
      <c r="L96" s="4">
        <v>5</v>
      </c>
      <c r="M96" s="32">
        <f t="shared" si="45"/>
        <v>8.7864923747276684</v>
      </c>
      <c r="N96" s="32">
        <f t="shared" si="46"/>
        <v>9.0926833696441527</v>
      </c>
      <c r="O96" s="32">
        <f t="shared" si="47"/>
        <v>9.2033405954974583</v>
      </c>
      <c r="P96" s="32">
        <f t="shared" si="48"/>
        <v>9.553376906318082</v>
      </c>
      <c r="Q96" s="22">
        <f t="shared" si="49"/>
        <v>9.1589733115468412</v>
      </c>
      <c r="R96" s="4"/>
      <c r="S96" s="4">
        <v>5</v>
      </c>
      <c r="T96" s="19">
        <f t="shared" si="50"/>
        <v>87.2</v>
      </c>
      <c r="U96" s="19">
        <f t="shared" si="51"/>
        <v>87.1</v>
      </c>
      <c r="V96" s="19">
        <f t="shared" si="52"/>
        <v>87.4</v>
      </c>
      <c r="W96" s="19">
        <f t="shared" si="53"/>
        <v>87.7</v>
      </c>
      <c r="X96" s="11"/>
      <c r="Y96" s="11"/>
    </row>
    <row r="97" spans="1:25" ht="14.5" x14ac:dyDescent="0.35">
      <c r="A97" s="14" t="s">
        <v>518</v>
      </c>
      <c r="B97" s="4">
        <v>6</v>
      </c>
      <c r="C97" s="19">
        <v>11.4</v>
      </c>
      <c r="D97" s="19">
        <v>12.3</v>
      </c>
      <c r="E97" s="20">
        <v>11.5</v>
      </c>
      <c r="F97" s="21">
        <v>12.1</v>
      </c>
      <c r="G97" s="19">
        <v>11.9</v>
      </c>
      <c r="H97" s="19">
        <v>11.5</v>
      </c>
      <c r="I97" s="20">
        <v>11.9</v>
      </c>
      <c r="J97" s="21">
        <v>11.8</v>
      </c>
      <c r="K97" s="14" t="s">
        <v>518</v>
      </c>
      <c r="L97" s="4">
        <v>6</v>
      </c>
      <c r="M97" s="32">
        <f t="shared" si="45"/>
        <v>9.0757080610021781</v>
      </c>
      <c r="N97" s="32">
        <f t="shared" si="46"/>
        <v>9.1761982570806104</v>
      </c>
      <c r="O97" s="32">
        <f t="shared" si="47"/>
        <v>9.5601851851851851</v>
      </c>
      <c r="P97" s="32">
        <f t="shared" si="48"/>
        <v>9.5277777777777786</v>
      </c>
      <c r="Q97" s="22">
        <f t="shared" si="49"/>
        <v>9.3349673202614376</v>
      </c>
      <c r="R97" s="14" t="s">
        <v>518</v>
      </c>
      <c r="S97" s="4">
        <v>6</v>
      </c>
      <c r="T97" s="19">
        <f t="shared" si="50"/>
        <v>87.7</v>
      </c>
      <c r="U97" s="19">
        <f t="shared" si="51"/>
        <v>87.9</v>
      </c>
      <c r="V97" s="19">
        <f t="shared" si="52"/>
        <v>88.5</v>
      </c>
      <c r="W97" s="19">
        <f t="shared" si="53"/>
        <v>88.2</v>
      </c>
      <c r="X97" s="11"/>
      <c r="Y97" s="11"/>
    </row>
    <row r="98" spans="1:25" ht="14.5" x14ac:dyDescent="0.35">
      <c r="A98" s="4" t="s">
        <v>519</v>
      </c>
      <c r="B98" s="4">
        <v>7</v>
      </c>
      <c r="C98" s="19">
        <v>12</v>
      </c>
      <c r="D98" s="19">
        <v>12.5</v>
      </c>
      <c r="E98" s="20">
        <v>12</v>
      </c>
      <c r="F98" s="21">
        <v>12.1</v>
      </c>
      <c r="G98" s="19">
        <v>12.3</v>
      </c>
      <c r="H98" s="19">
        <v>12.1</v>
      </c>
      <c r="I98" s="20">
        <v>12.6</v>
      </c>
      <c r="J98" s="21">
        <v>12.7</v>
      </c>
      <c r="K98" s="4" t="s">
        <v>519</v>
      </c>
      <c r="L98" s="4">
        <v>7</v>
      </c>
      <c r="M98" s="32">
        <f t="shared" si="45"/>
        <v>9.5315904139433556</v>
      </c>
      <c r="N98" s="32">
        <f t="shared" si="46"/>
        <v>9.575163398692812</v>
      </c>
      <c r="O98" s="32">
        <f t="shared" si="47"/>
        <v>9.8145424836601318</v>
      </c>
      <c r="P98" s="32">
        <f t="shared" si="48"/>
        <v>9.985294117647058</v>
      </c>
      <c r="Q98" s="22">
        <f t="shared" si="49"/>
        <v>9.7266476034858389</v>
      </c>
      <c r="R98" s="4" t="s">
        <v>519</v>
      </c>
      <c r="S98" s="4">
        <v>7</v>
      </c>
      <c r="T98" s="19">
        <f t="shared" si="50"/>
        <v>87.5</v>
      </c>
      <c r="U98" s="19">
        <f t="shared" si="51"/>
        <v>87.9</v>
      </c>
      <c r="V98" s="19">
        <f t="shared" si="52"/>
        <v>87.9</v>
      </c>
      <c r="W98" s="19">
        <f t="shared" si="53"/>
        <v>87.3</v>
      </c>
      <c r="X98" s="11"/>
      <c r="Y98" s="11"/>
    </row>
    <row r="99" spans="1:25" ht="14.5" x14ac:dyDescent="0.35">
      <c r="A99" s="4"/>
      <c r="B99" s="4">
        <v>8</v>
      </c>
      <c r="C99" s="19">
        <v>11.3</v>
      </c>
      <c r="D99" s="19">
        <v>12.5</v>
      </c>
      <c r="E99" s="20">
        <v>11.9</v>
      </c>
      <c r="F99" s="21">
        <v>12.4</v>
      </c>
      <c r="G99" s="19">
        <v>10.5</v>
      </c>
      <c r="H99" s="19">
        <v>12.5</v>
      </c>
      <c r="I99" s="20">
        <v>11.7</v>
      </c>
      <c r="J99" s="21">
        <v>12.7</v>
      </c>
      <c r="K99" s="4"/>
      <c r="L99" s="4">
        <v>8</v>
      </c>
      <c r="M99" s="32">
        <f t="shared" si="45"/>
        <v>8.9755809731299934</v>
      </c>
      <c r="N99" s="32">
        <f t="shared" si="46"/>
        <v>9.4629629629629637</v>
      </c>
      <c r="O99" s="32">
        <f t="shared" si="47"/>
        <v>8.3401416122004353</v>
      </c>
      <c r="P99" s="32">
        <f t="shared" si="48"/>
        <v>9.2720588235294095</v>
      </c>
      <c r="Q99" s="22">
        <f t="shared" si="49"/>
        <v>9.0126860929557004</v>
      </c>
      <c r="R99" s="4"/>
      <c r="S99" s="4">
        <v>8</v>
      </c>
      <c r="T99" s="19">
        <f t="shared" si="50"/>
        <v>87.5</v>
      </c>
      <c r="U99" s="19">
        <f t="shared" si="51"/>
        <v>87.6</v>
      </c>
      <c r="V99" s="19">
        <f t="shared" si="52"/>
        <v>87.5</v>
      </c>
      <c r="W99" s="19">
        <f t="shared" si="53"/>
        <v>87.3</v>
      </c>
      <c r="X99" s="11"/>
      <c r="Y99" s="11"/>
    </row>
    <row r="100" spans="1:25" ht="14.5" x14ac:dyDescent="0.35">
      <c r="A100" s="4"/>
      <c r="B100" s="4">
        <v>9</v>
      </c>
      <c r="C100" s="19">
        <v>12.5</v>
      </c>
      <c r="D100" s="19">
        <v>13</v>
      </c>
      <c r="E100" s="20">
        <v>13.1</v>
      </c>
      <c r="F100" s="21">
        <v>12.7</v>
      </c>
      <c r="G100" s="19">
        <v>12.9</v>
      </c>
      <c r="H100" s="19">
        <v>12.9</v>
      </c>
      <c r="I100" s="20">
        <v>13.4</v>
      </c>
      <c r="J100" s="21">
        <v>13.6</v>
      </c>
      <c r="K100" s="4"/>
      <c r="L100" s="4">
        <v>9</v>
      </c>
      <c r="M100" s="32">
        <f t="shared" si="45"/>
        <v>9.8720043572984757</v>
      </c>
      <c r="N100" s="32">
        <f t="shared" si="46"/>
        <v>10.381535947712417</v>
      </c>
      <c r="O100" s="32">
        <f t="shared" si="47"/>
        <v>10.199618736383442</v>
      </c>
      <c r="P100" s="32">
        <f t="shared" si="48"/>
        <v>10.509803921568627</v>
      </c>
      <c r="Q100" s="22">
        <f t="shared" si="49"/>
        <v>10.24074074074074</v>
      </c>
      <c r="R100" s="4"/>
      <c r="S100" s="4">
        <v>9</v>
      </c>
      <c r="T100" s="19">
        <f t="shared" si="50"/>
        <v>87</v>
      </c>
      <c r="U100" s="19">
        <f t="shared" si="51"/>
        <v>87.3</v>
      </c>
      <c r="V100" s="19">
        <f t="shared" si="52"/>
        <v>87.1</v>
      </c>
      <c r="W100" s="19">
        <f t="shared" si="53"/>
        <v>86.4</v>
      </c>
      <c r="X100" s="11"/>
      <c r="Y100" s="11"/>
    </row>
    <row r="101" spans="1:25" ht="14.5" x14ac:dyDescent="0.35">
      <c r="A101" s="4"/>
      <c r="B101" s="4">
        <v>10</v>
      </c>
      <c r="C101" s="19">
        <v>12.2</v>
      </c>
      <c r="D101" s="19">
        <v>12.3</v>
      </c>
      <c r="E101" s="20">
        <v>12.9</v>
      </c>
      <c r="F101" s="21">
        <v>12.2</v>
      </c>
      <c r="G101" s="19">
        <v>12.3</v>
      </c>
      <c r="H101" s="19">
        <v>13</v>
      </c>
      <c r="I101" s="20">
        <v>13</v>
      </c>
      <c r="J101" s="21">
        <v>12.9</v>
      </c>
      <c r="K101" s="4"/>
      <c r="L101" s="4">
        <v>10</v>
      </c>
      <c r="M101" s="32">
        <f t="shared" si="45"/>
        <v>9.7125998547567178</v>
      </c>
      <c r="N101" s="32">
        <f t="shared" si="46"/>
        <v>10.281590413943354</v>
      </c>
      <c r="O101" s="32">
        <f t="shared" si="47"/>
        <v>9.7140522875817013</v>
      </c>
      <c r="P101" s="32">
        <f t="shared" si="48"/>
        <v>10.278685548293389</v>
      </c>
      <c r="Q101" s="22">
        <f t="shared" si="49"/>
        <v>9.9967320261437909</v>
      </c>
      <c r="R101" s="4"/>
      <c r="S101" s="4">
        <v>10</v>
      </c>
      <c r="T101" s="19">
        <f t="shared" si="50"/>
        <v>87.7</v>
      </c>
      <c r="U101" s="19">
        <f t="shared" si="51"/>
        <v>87.8</v>
      </c>
      <c r="V101" s="19">
        <f t="shared" si="52"/>
        <v>87</v>
      </c>
      <c r="W101" s="19">
        <f t="shared" si="53"/>
        <v>87.1</v>
      </c>
      <c r="X101" s="11"/>
      <c r="Y101" s="11"/>
    </row>
    <row r="102" spans="1:25" ht="14.5" x14ac:dyDescent="0.35">
      <c r="A102" s="4"/>
      <c r="B102" s="4">
        <v>11</v>
      </c>
      <c r="C102" s="19">
        <v>11.5</v>
      </c>
      <c r="D102" s="19">
        <v>13.2</v>
      </c>
      <c r="E102" s="20">
        <v>12.1</v>
      </c>
      <c r="F102" s="21">
        <v>13</v>
      </c>
      <c r="G102" s="19">
        <v>13.2</v>
      </c>
      <c r="H102" s="19">
        <v>13.1</v>
      </c>
      <c r="I102" s="20">
        <v>13</v>
      </c>
      <c r="J102" s="21">
        <v>12.7</v>
      </c>
      <c r="K102" s="4"/>
      <c r="L102" s="4">
        <v>11</v>
      </c>
      <c r="M102" s="32">
        <f t="shared" si="45"/>
        <v>9.0613652868554819</v>
      </c>
      <c r="N102" s="32">
        <f t="shared" si="46"/>
        <v>9.5561002178649233</v>
      </c>
      <c r="O102" s="32">
        <f t="shared" si="47"/>
        <v>10.412854030501087</v>
      </c>
      <c r="P102" s="32">
        <f t="shared" si="48"/>
        <v>10.302287581699343</v>
      </c>
      <c r="Q102" s="22">
        <f t="shared" si="49"/>
        <v>9.8331517792302101</v>
      </c>
      <c r="R102" s="4"/>
      <c r="S102" s="4">
        <v>11</v>
      </c>
      <c r="T102" s="19">
        <f t="shared" si="50"/>
        <v>86.8</v>
      </c>
      <c r="U102" s="19">
        <f t="shared" si="51"/>
        <v>87</v>
      </c>
      <c r="V102" s="19">
        <f t="shared" si="52"/>
        <v>86.9</v>
      </c>
      <c r="W102" s="19">
        <f t="shared" si="53"/>
        <v>87.3</v>
      </c>
      <c r="X102" s="11"/>
      <c r="Y102" s="11"/>
    </row>
    <row r="103" spans="1:25" ht="14.5" x14ac:dyDescent="0.35">
      <c r="A103" s="4"/>
      <c r="B103" s="4">
        <v>12</v>
      </c>
      <c r="C103" s="19">
        <v>11</v>
      </c>
      <c r="D103" s="19">
        <v>11.9</v>
      </c>
      <c r="E103" s="20">
        <v>11</v>
      </c>
      <c r="F103" s="21">
        <v>11.6</v>
      </c>
      <c r="G103" s="19">
        <v>11.3</v>
      </c>
      <c r="H103" s="19">
        <v>12.4</v>
      </c>
      <c r="I103" s="20">
        <v>11.6</v>
      </c>
      <c r="J103" s="21">
        <v>12.6</v>
      </c>
      <c r="K103" s="4"/>
      <c r="L103" s="4">
        <v>12</v>
      </c>
      <c r="M103" s="32">
        <f t="shared" si="45"/>
        <v>8.7972040668119096</v>
      </c>
      <c r="N103" s="32">
        <f t="shared" si="46"/>
        <v>8.8271604938271615</v>
      </c>
      <c r="O103" s="32">
        <f t="shared" si="47"/>
        <v>8.9858387799564259</v>
      </c>
      <c r="P103" s="32">
        <f t="shared" si="48"/>
        <v>9.2033405954974583</v>
      </c>
      <c r="Q103" s="22">
        <f t="shared" si="49"/>
        <v>8.9533859840232388</v>
      </c>
      <c r="R103" s="4"/>
      <c r="S103" s="4">
        <v>12</v>
      </c>
      <c r="T103" s="19">
        <f t="shared" si="50"/>
        <v>88.1</v>
      </c>
      <c r="U103" s="19">
        <f t="shared" si="51"/>
        <v>88.4</v>
      </c>
      <c r="V103" s="19">
        <f t="shared" si="52"/>
        <v>87.6</v>
      </c>
      <c r="W103" s="19">
        <f t="shared" si="53"/>
        <v>87.4</v>
      </c>
      <c r="X103" s="11"/>
      <c r="Y103" s="11"/>
    </row>
    <row r="104" spans="1:25" ht="14.5" x14ac:dyDescent="0.35">
      <c r="A104" s="4"/>
      <c r="B104" s="4">
        <v>13</v>
      </c>
      <c r="C104" s="19">
        <v>11.1</v>
      </c>
      <c r="D104" s="19">
        <v>11.6</v>
      </c>
      <c r="E104" s="20">
        <v>11</v>
      </c>
      <c r="F104" s="21">
        <v>11.8</v>
      </c>
      <c r="G104" s="19">
        <v>11.9</v>
      </c>
      <c r="H104" s="19">
        <v>12</v>
      </c>
      <c r="I104" s="20">
        <v>10.4</v>
      </c>
      <c r="J104" s="21">
        <v>11.6</v>
      </c>
      <c r="K104" s="4"/>
      <c r="L104" s="4">
        <v>13</v>
      </c>
      <c r="M104" s="32">
        <f t="shared" si="45"/>
        <v>8.9074074074074066</v>
      </c>
      <c r="N104" s="32">
        <f t="shared" si="46"/>
        <v>8.807189542483659</v>
      </c>
      <c r="O104" s="32">
        <f t="shared" si="47"/>
        <v>9.5061728395061724</v>
      </c>
      <c r="P104" s="32">
        <f t="shared" si="48"/>
        <v>8.3456790123456788</v>
      </c>
      <c r="Q104" s="22">
        <f t="shared" si="49"/>
        <v>8.8916122004357288</v>
      </c>
      <c r="R104" s="4"/>
      <c r="S104" s="4">
        <v>13</v>
      </c>
      <c r="T104" s="19">
        <f t="shared" si="50"/>
        <v>88.4</v>
      </c>
      <c r="U104" s="19">
        <f t="shared" si="51"/>
        <v>88.2</v>
      </c>
      <c r="V104" s="19">
        <f t="shared" si="52"/>
        <v>88</v>
      </c>
      <c r="W104" s="19">
        <f t="shared" si="53"/>
        <v>88.4</v>
      </c>
      <c r="X104" s="11"/>
      <c r="Y104" s="11"/>
    </row>
    <row r="105" spans="1:25" ht="14.5" x14ac:dyDescent="0.35">
      <c r="A105" s="4"/>
      <c r="B105" s="4">
        <v>14</v>
      </c>
      <c r="C105" s="19">
        <v>11</v>
      </c>
      <c r="D105" s="19">
        <v>11.3</v>
      </c>
      <c r="E105" s="20">
        <v>11.2</v>
      </c>
      <c r="F105" s="21">
        <v>13.2</v>
      </c>
      <c r="G105" s="19">
        <v>12.9</v>
      </c>
      <c r="H105" s="19">
        <v>16.8</v>
      </c>
      <c r="I105" s="20">
        <v>12</v>
      </c>
      <c r="J105" s="21">
        <v>11.8</v>
      </c>
      <c r="K105" s="4"/>
      <c r="L105" s="4">
        <v>14</v>
      </c>
      <c r="M105" s="32">
        <f t="shared" si="45"/>
        <v>8.8571169208424099</v>
      </c>
      <c r="N105" s="32">
        <f t="shared" si="46"/>
        <v>8.8249818445896864</v>
      </c>
      <c r="O105" s="32">
        <f t="shared" si="47"/>
        <v>9.7429193899782121</v>
      </c>
      <c r="P105" s="32">
        <f t="shared" si="48"/>
        <v>9.6078431372549016</v>
      </c>
      <c r="Q105" s="22">
        <f t="shared" si="49"/>
        <v>9.2582153231663025</v>
      </c>
      <c r="R105" s="4"/>
      <c r="S105" s="4">
        <v>14</v>
      </c>
      <c r="T105" s="19">
        <f t="shared" si="50"/>
        <v>88.7</v>
      </c>
      <c r="U105" s="19">
        <f t="shared" si="51"/>
        <v>86.8</v>
      </c>
      <c r="V105" s="19">
        <f t="shared" si="52"/>
        <v>83.2</v>
      </c>
      <c r="W105" s="19">
        <f t="shared" si="53"/>
        <v>88.2</v>
      </c>
      <c r="X105" s="11"/>
      <c r="Y105" s="11"/>
    </row>
    <row r="106" spans="1:25" ht="14.5" x14ac:dyDescent="0.35">
      <c r="A106" s="4"/>
      <c r="B106" s="4">
        <v>15</v>
      </c>
      <c r="C106" s="19">
        <v>10.5</v>
      </c>
      <c r="D106" s="19">
        <v>12.1</v>
      </c>
      <c r="E106" s="20">
        <v>9.48</v>
      </c>
      <c r="F106" s="21">
        <v>11.5</v>
      </c>
      <c r="G106" s="19">
        <v>11.9</v>
      </c>
      <c r="H106" s="19">
        <v>13</v>
      </c>
      <c r="I106" s="20">
        <v>9.89</v>
      </c>
      <c r="J106" s="21">
        <v>11.9</v>
      </c>
      <c r="K106" s="4"/>
      <c r="L106" s="4">
        <v>15</v>
      </c>
      <c r="M106" s="32">
        <f t="shared" si="45"/>
        <v>8.3782679738562091</v>
      </c>
      <c r="N106" s="32">
        <f t="shared" si="46"/>
        <v>7.6160130718954244</v>
      </c>
      <c r="O106" s="32">
        <f t="shared" si="47"/>
        <v>9.398148148148147</v>
      </c>
      <c r="P106" s="32">
        <f t="shared" si="48"/>
        <v>7.9094862018881615</v>
      </c>
      <c r="Q106" s="22">
        <f t="shared" si="49"/>
        <v>8.325478848946986</v>
      </c>
      <c r="R106" s="4"/>
      <c r="S106" s="4">
        <v>15</v>
      </c>
      <c r="T106" s="19">
        <f t="shared" si="50"/>
        <v>87.9</v>
      </c>
      <c r="U106" s="19">
        <f t="shared" si="51"/>
        <v>88.5</v>
      </c>
      <c r="V106" s="19">
        <f t="shared" si="52"/>
        <v>87</v>
      </c>
      <c r="W106" s="19">
        <f t="shared" si="53"/>
        <v>88.1</v>
      </c>
      <c r="X106" s="11"/>
      <c r="Y106" s="11"/>
    </row>
    <row r="107" spans="1:25" ht="14.5" x14ac:dyDescent="0.35">
      <c r="A107" s="4"/>
      <c r="B107" s="4"/>
      <c r="C107" s="43" t="s">
        <v>500</v>
      </c>
      <c r="D107" s="43"/>
      <c r="E107" s="44" t="s">
        <v>501</v>
      </c>
      <c r="F107" s="45"/>
      <c r="G107" s="43" t="s">
        <v>502</v>
      </c>
      <c r="H107" s="43"/>
      <c r="I107" s="44" t="s">
        <v>503</v>
      </c>
      <c r="J107" s="45"/>
      <c r="K107" s="4"/>
      <c r="L107" s="4"/>
      <c r="M107" s="19"/>
      <c r="N107" s="19"/>
      <c r="O107" s="19"/>
      <c r="P107" s="19"/>
      <c r="Q107" s="35">
        <f>AVERAGE(Q92:Q106)</f>
        <v>9.0764366981360425</v>
      </c>
      <c r="R107" s="4"/>
      <c r="S107" s="4"/>
      <c r="T107" s="19"/>
      <c r="U107" s="19"/>
      <c r="V107" s="19"/>
      <c r="W107" s="19"/>
      <c r="X107" s="11"/>
      <c r="Y107" s="11"/>
    </row>
    <row r="108" spans="1:25" ht="14.5" x14ac:dyDescent="0.35">
      <c r="A108" s="4"/>
      <c r="B108" s="4"/>
      <c r="C108" s="23" t="s">
        <v>505</v>
      </c>
      <c r="D108" s="23" t="s">
        <v>506</v>
      </c>
      <c r="E108" s="24" t="s">
        <v>505</v>
      </c>
      <c r="F108" s="25" t="s">
        <v>506</v>
      </c>
      <c r="G108" s="23" t="s">
        <v>505</v>
      </c>
      <c r="H108" s="23" t="s">
        <v>506</v>
      </c>
      <c r="I108" s="24" t="s">
        <v>505</v>
      </c>
      <c r="J108" s="25" t="s">
        <v>506</v>
      </c>
      <c r="K108" s="4"/>
      <c r="L108" s="4"/>
      <c r="M108" s="4" t="s">
        <v>500</v>
      </c>
      <c r="N108" s="4" t="s">
        <v>501</v>
      </c>
      <c r="O108" s="4" t="s">
        <v>502</v>
      </c>
      <c r="P108" s="4" t="s">
        <v>503</v>
      </c>
      <c r="Q108" s="18" t="s">
        <v>507</v>
      </c>
      <c r="R108" s="4"/>
      <c r="S108" s="4"/>
      <c r="T108" s="4" t="s">
        <v>500</v>
      </c>
      <c r="U108" s="4" t="s">
        <v>501</v>
      </c>
      <c r="V108" s="4" t="s">
        <v>502</v>
      </c>
      <c r="W108" s="4" t="s">
        <v>503</v>
      </c>
      <c r="X108" s="11"/>
      <c r="Y108" s="11"/>
    </row>
    <row r="109" spans="1:25" ht="14.5" x14ac:dyDescent="0.35">
      <c r="A109" s="4"/>
      <c r="B109" s="4">
        <v>1</v>
      </c>
      <c r="C109" s="19">
        <v>5.81</v>
      </c>
      <c r="D109" s="19">
        <v>13.3</v>
      </c>
      <c r="E109" s="20">
        <v>4.78</v>
      </c>
      <c r="F109" s="21">
        <v>10.6</v>
      </c>
      <c r="G109" s="19">
        <v>5.81</v>
      </c>
      <c r="H109" s="19">
        <v>12</v>
      </c>
      <c r="I109" s="20">
        <v>6.48</v>
      </c>
      <c r="J109" s="21">
        <v>9.9</v>
      </c>
      <c r="K109" s="4"/>
      <c r="L109" s="4">
        <v>1</v>
      </c>
      <c r="M109" s="32">
        <f>+(((C109*T109)/85)/12.96)*10</f>
        <v>4.5726851851851844</v>
      </c>
      <c r="N109" s="32">
        <f>+(((E109*U109)/85)/12.96)*10</f>
        <v>3.8791938997821349</v>
      </c>
      <c r="O109" s="32">
        <f>+(((G109*V109)/85)/12.96)*10</f>
        <v>4.6412490922294838</v>
      </c>
      <c r="P109" s="32">
        <f>+(((I109*W109)/85)/12.96)*10</f>
        <v>5.2999999999999989</v>
      </c>
      <c r="Q109" s="22">
        <f>AVERAGE(M109:P109)</f>
        <v>4.5982820442992001</v>
      </c>
      <c r="R109" s="4"/>
      <c r="S109" s="4">
        <v>1</v>
      </c>
      <c r="T109" s="19">
        <f>+(100-D109)</f>
        <v>86.7</v>
      </c>
      <c r="U109" s="19">
        <f>+(100-F109)</f>
        <v>89.4</v>
      </c>
      <c r="V109" s="19">
        <f>+(100-H109)</f>
        <v>88</v>
      </c>
      <c r="W109" s="19">
        <f>+(100-J109)</f>
        <v>90.1</v>
      </c>
      <c r="X109" s="11"/>
      <c r="Y109" s="11"/>
    </row>
    <row r="110" spans="1:25" ht="14.5" x14ac:dyDescent="0.35">
      <c r="A110" s="4"/>
      <c r="B110" s="4">
        <v>2</v>
      </c>
      <c r="C110" s="19">
        <v>12.2</v>
      </c>
      <c r="D110" s="19">
        <v>13.4</v>
      </c>
      <c r="E110" s="20">
        <v>12.4</v>
      </c>
      <c r="F110" s="21">
        <v>12</v>
      </c>
      <c r="G110" s="19">
        <v>13.4</v>
      </c>
      <c r="H110" s="19">
        <v>12.8</v>
      </c>
      <c r="I110" s="20">
        <v>13.3</v>
      </c>
      <c r="J110" s="21">
        <v>13.4</v>
      </c>
      <c r="K110" s="4"/>
      <c r="L110" s="4">
        <v>2</v>
      </c>
      <c r="M110" s="32">
        <f t="shared" ref="M110:M123" si="54">+(((C110*T110)/85)/12.96)*10</f>
        <v>9.5907770515613642</v>
      </c>
      <c r="N110" s="32">
        <f t="shared" ref="N110:N123" si="55">+(((E110*U110)/85)/12.96)*10</f>
        <v>9.9055918663761808</v>
      </c>
      <c r="O110" s="32">
        <f t="shared" ref="O110:O123" si="56">+(((G110*V110)/85)/12.96)*10</f>
        <v>10.60711692084241</v>
      </c>
      <c r="P110" s="32">
        <f t="shared" ref="P110:P123" si="57">+(((I110*W110)/85)/12.96)*10</f>
        <v>10.45551924473493</v>
      </c>
      <c r="Q110" s="22">
        <f t="shared" ref="Q110:Q123" si="58">AVERAGE(M110:P110)</f>
        <v>10.139751270878721</v>
      </c>
      <c r="R110" s="4"/>
      <c r="S110" s="4">
        <v>2</v>
      </c>
      <c r="T110" s="19">
        <f t="shared" ref="T110:T123" si="59">+(100-D110)</f>
        <v>86.6</v>
      </c>
      <c r="U110" s="19">
        <f t="shared" ref="U110:U123" si="60">+(100-F110)</f>
        <v>88</v>
      </c>
      <c r="V110" s="19">
        <f t="shared" ref="V110:V123" si="61">+(100-H110)</f>
        <v>87.2</v>
      </c>
      <c r="W110" s="19">
        <f t="shared" ref="W110:W123" si="62">+(100-J110)</f>
        <v>86.6</v>
      </c>
      <c r="X110" s="11"/>
      <c r="Y110" s="11"/>
    </row>
    <row r="111" spans="1:25" ht="14.5" x14ac:dyDescent="0.35">
      <c r="A111" s="4"/>
      <c r="B111" s="4">
        <v>3</v>
      </c>
      <c r="C111" s="19">
        <v>12.3</v>
      </c>
      <c r="D111" s="19">
        <v>13.8</v>
      </c>
      <c r="E111" s="20">
        <v>10.7</v>
      </c>
      <c r="F111" s="21">
        <v>11.2</v>
      </c>
      <c r="G111" s="19">
        <v>10.1</v>
      </c>
      <c r="H111" s="19">
        <v>11.5</v>
      </c>
      <c r="I111" s="20">
        <v>11.6</v>
      </c>
      <c r="J111" s="21">
        <v>12.1</v>
      </c>
      <c r="K111" s="4"/>
      <c r="L111" s="4">
        <v>3</v>
      </c>
      <c r="M111" s="32">
        <f t="shared" si="54"/>
        <v>9.6247276688453152</v>
      </c>
      <c r="N111" s="32">
        <f t="shared" si="55"/>
        <v>8.6252723311546813</v>
      </c>
      <c r="O111" s="32">
        <f t="shared" si="56"/>
        <v>8.114106753812635</v>
      </c>
      <c r="P111" s="32">
        <f t="shared" si="57"/>
        <v>9.2559912854030486</v>
      </c>
      <c r="Q111" s="22">
        <f t="shared" si="58"/>
        <v>8.9050245098039191</v>
      </c>
      <c r="R111" s="4"/>
      <c r="S111" s="4">
        <v>3</v>
      </c>
      <c r="T111" s="19">
        <f t="shared" si="59"/>
        <v>86.2</v>
      </c>
      <c r="U111" s="19">
        <f t="shared" si="60"/>
        <v>88.8</v>
      </c>
      <c r="V111" s="19">
        <f t="shared" si="61"/>
        <v>88.5</v>
      </c>
      <c r="W111" s="19">
        <f t="shared" si="62"/>
        <v>87.9</v>
      </c>
      <c r="X111" s="11"/>
      <c r="Y111" s="11"/>
    </row>
    <row r="112" spans="1:25" ht="14.5" x14ac:dyDescent="0.35">
      <c r="A112" s="4"/>
      <c r="B112" s="4">
        <v>4</v>
      </c>
      <c r="C112" s="19">
        <v>11.3</v>
      </c>
      <c r="D112" s="19">
        <v>11.2</v>
      </c>
      <c r="E112" s="20">
        <v>11.9</v>
      </c>
      <c r="F112" s="21">
        <v>11.4</v>
      </c>
      <c r="G112" s="19">
        <v>12.5</v>
      </c>
      <c r="H112" s="19">
        <v>11</v>
      </c>
      <c r="I112" s="20">
        <v>12</v>
      </c>
      <c r="J112" s="21">
        <v>11.9</v>
      </c>
      <c r="K112" s="4"/>
      <c r="L112" s="4">
        <v>4</v>
      </c>
      <c r="M112" s="32">
        <f t="shared" si="54"/>
        <v>9.1089324618736391</v>
      </c>
      <c r="N112" s="32">
        <f t="shared" si="55"/>
        <v>9.5709876543209873</v>
      </c>
      <c r="O112" s="32">
        <f t="shared" si="56"/>
        <v>10.098946986201886</v>
      </c>
      <c r="P112" s="32">
        <f t="shared" si="57"/>
        <v>9.5969498910675348</v>
      </c>
      <c r="Q112" s="22">
        <f t="shared" si="58"/>
        <v>9.5939542483660105</v>
      </c>
      <c r="R112" s="4"/>
      <c r="S112" s="4">
        <v>4</v>
      </c>
      <c r="T112" s="19">
        <f t="shared" si="59"/>
        <v>88.8</v>
      </c>
      <c r="U112" s="19">
        <f t="shared" si="60"/>
        <v>88.6</v>
      </c>
      <c r="V112" s="19">
        <f t="shared" si="61"/>
        <v>89</v>
      </c>
      <c r="W112" s="19">
        <f t="shared" si="62"/>
        <v>88.1</v>
      </c>
      <c r="X112" s="11"/>
      <c r="Y112" s="11"/>
    </row>
    <row r="113" spans="1:25" ht="14.5" x14ac:dyDescent="0.35">
      <c r="A113" s="4"/>
      <c r="B113" s="4">
        <v>5</v>
      </c>
      <c r="C113" s="19">
        <v>11.5</v>
      </c>
      <c r="D113" s="19">
        <v>11.5</v>
      </c>
      <c r="E113" s="20">
        <v>11.3</v>
      </c>
      <c r="F113" s="21">
        <v>11.6</v>
      </c>
      <c r="G113" s="19">
        <v>11.9</v>
      </c>
      <c r="H113" s="19">
        <v>12.1</v>
      </c>
      <c r="I113" s="20">
        <v>11.8</v>
      </c>
      <c r="J113" s="21">
        <v>11.5</v>
      </c>
      <c r="K113" s="4"/>
      <c r="L113" s="4">
        <v>5</v>
      </c>
      <c r="M113" s="32">
        <f t="shared" si="54"/>
        <v>9.238834422657952</v>
      </c>
      <c r="N113" s="32">
        <f t="shared" si="55"/>
        <v>9.067901234567902</v>
      </c>
      <c r="O113" s="32">
        <f t="shared" si="56"/>
        <v>9.4953703703703702</v>
      </c>
      <c r="P113" s="32">
        <f t="shared" si="57"/>
        <v>9.4798474945533755</v>
      </c>
      <c r="Q113" s="22">
        <f t="shared" si="58"/>
        <v>9.3204883805373999</v>
      </c>
      <c r="R113" s="4"/>
      <c r="S113" s="4">
        <v>5</v>
      </c>
      <c r="T113" s="19">
        <f t="shared" si="59"/>
        <v>88.5</v>
      </c>
      <c r="U113" s="19">
        <f t="shared" si="60"/>
        <v>88.4</v>
      </c>
      <c r="V113" s="19">
        <f t="shared" si="61"/>
        <v>87.9</v>
      </c>
      <c r="W113" s="19">
        <f t="shared" si="62"/>
        <v>88.5</v>
      </c>
      <c r="X113" s="11"/>
      <c r="Y113" s="11"/>
    </row>
    <row r="114" spans="1:25" ht="14.5" x14ac:dyDescent="0.35">
      <c r="A114" s="14" t="s">
        <v>520</v>
      </c>
      <c r="B114" s="4">
        <v>6</v>
      </c>
      <c r="C114" s="19">
        <v>12.1</v>
      </c>
      <c r="D114" s="19">
        <v>11.2</v>
      </c>
      <c r="E114" s="20">
        <v>11.5</v>
      </c>
      <c r="F114" s="21">
        <v>11.3</v>
      </c>
      <c r="G114" s="19">
        <v>12</v>
      </c>
      <c r="H114" s="19">
        <v>11.9</v>
      </c>
      <c r="I114" s="20">
        <v>11.6</v>
      </c>
      <c r="J114" s="21">
        <v>11.9</v>
      </c>
      <c r="K114" s="14" t="s">
        <v>520</v>
      </c>
      <c r="L114" s="4">
        <v>6</v>
      </c>
      <c r="M114" s="32">
        <f t="shared" si="54"/>
        <v>9.753812636165577</v>
      </c>
      <c r="N114" s="32">
        <f t="shared" si="55"/>
        <v>9.2597131445170664</v>
      </c>
      <c r="O114" s="32">
        <f t="shared" si="56"/>
        <v>9.5969498910675348</v>
      </c>
      <c r="P114" s="32">
        <f t="shared" si="57"/>
        <v>9.2770515613652851</v>
      </c>
      <c r="Q114" s="22">
        <f t="shared" si="58"/>
        <v>9.4718818082788658</v>
      </c>
      <c r="R114" s="14" t="s">
        <v>520</v>
      </c>
      <c r="S114" s="4">
        <v>6</v>
      </c>
      <c r="T114" s="19">
        <f t="shared" si="59"/>
        <v>88.8</v>
      </c>
      <c r="U114" s="19">
        <f t="shared" si="60"/>
        <v>88.7</v>
      </c>
      <c r="V114" s="19">
        <f t="shared" si="61"/>
        <v>88.1</v>
      </c>
      <c r="W114" s="19">
        <f t="shared" si="62"/>
        <v>88.1</v>
      </c>
      <c r="X114" s="11"/>
      <c r="Y114" s="11"/>
    </row>
    <row r="115" spans="1:25" ht="14.5" x14ac:dyDescent="0.35">
      <c r="A115" s="4" t="s">
        <v>521</v>
      </c>
      <c r="B115" s="4">
        <v>7</v>
      </c>
      <c r="C115" s="19">
        <v>11.2</v>
      </c>
      <c r="D115" s="19">
        <v>10.9</v>
      </c>
      <c r="E115" s="20">
        <v>10.3</v>
      </c>
      <c r="F115" s="21">
        <v>11.1</v>
      </c>
      <c r="G115" s="19">
        <v>10.8</v>
      </c>
      <c r="H115" s="19">
        <v>12.1</v>
      </c>
      <c r="I115" s="20">
        <v>11</v>
      </c>
      <c r="J115" s="21">
        <v>12</v>
      </c>
      <c r="K115" s="4" t="s">
        <v>521</v>
      </c>
      <c r="L115" s="4">
        <v>7</v>
      </c>
      <c r="M115" s="32">
        <f t="shared" si="54"/>
        <v>9.0588235294117645</v>
      </c>
      <c r="N115" s="32">
        <f t="shared" si="55"/>
        <v>8.3121822803195364</v>
      </c>
      <c r="O115" s="32">
        <f t="shared" si="56"/>
        <v>8.617647058823529</v>
      </c>
      <c r="P115" s="32">
        <f t="shared" si="57"/>
        <v>8.7872185911401584</v>
      </c>
      <c r="Q115" s="22">
        <f t="shared" si="58"/>
        <v>8.6939678649237475</v>
      </c>
      <c r="R115" s="4" t="s">
        <v>521</v>
      </c>
      <c r="S115" s="4">
        <v>7</v>
      </c>
      <c r="T115" s="19">
        <f t="shared" si="59"/>
        <v>89.1</v>
      </c>
      <c r="U115" s="19">
        <f t="shared" si="60"/>
        <v>88.9</v>
      </c>
      <c r="V115" s="19">
        <f t="shared" si="61"/>
        <v>87.9</v>
      </c>
      <c r="W115" s="19">
        <f t="shared" si="62"/>
        <v>88</v>
      </c>
      <c r="X115" s="11"/>
      <c r="Y115" s="11"/>
    </row>
    <row r="116" spans="1:25" ht="14.5" x14ac:dyDescent="0.35">
      <c r="A116" s="4"/>
      <c r="B116" s="4">
        <v>8</v>
      </c>
      <c r="C116" s="19">
        <v>11.5</v>
      </c>
      <c r="D116" s="19">
        <v>12.8</v>
      </c>
      <c r="E116" s="20">
        <v>10.3</v>
      </c>
      <c r="F116" s="21">
        <v>11.6</v>
      </c>
      <c r="G116" s="19">
        <v>11.8</v>
      </c>
      <c r="H116" s="19">
        <v>12.5</v>
      </c>
      <c r="I116" s="20">
        <v>11.2</v>
      </c>
      <c r="J116" s="21">
        <v>11.8</v>
      </c>
      <c r="K116" s="4"/>
      <c r="L116" s="4">
        <v>8</v>
      </c>
      <c r="M116" s="32">
        <f t="shared" si="54"/>
        <v>9.1031227305737126</v>
      </c>
      <c r="N116" s="32">
        <f t="shared" si="55"/>
        <v>8.2654320987654337</v>
      </c>
      <c r="O116" s="32">
        <f t="shared" si="56"/>
        <v>9.3727305737109639</v>
      </c>
      <c r="P116" s="32">
        <f t="shared" si="57"/>
        <v>8.9673202614379086</v>
      </c>
      <c r="Q116" s="22">
        <f t="shared" si="58"/>
        <v>8.9271514161220047</v>
      </c>
      <c r="R116" s="4"/>
      <c r="S116" s="4">
        <v>8</v>
      </c>
      <c r="T116" s="19">
        <f t="shared" si="59"/>
        <v>87.2</v>
      </c>
      <c r="U116" s="19">
        <f t="shared" si="60"/>
        <v>88.4</v>
      </c>
      <c r="V116" s="19">
        <f t="shared" si="61"/>
        <v>87.5</v>
      </c>
      <c r="W116" s="19">
        <f t="shared" si="62"/>
        <v>88.2</v>
      </c>
      <c r="X116" s="11"/>
      <c r="Y116" s="11"/>
    </row>
    <row r="117" spans="1:25" ht="14.5" x14ac:dyDescent="0.35">
      <c r="A117" s="4"/>
      <c r="B117" s="4">
        <v>9</v>
      </c>
      <c r="C117" s="19">
        <v>11.7</v>
      </c>
      <c r="D117" s="19">
        <v>11.6</v>
      </c>
      <c r="E117" s="20">
        <v>12.3</v>
      </c>
      <c r="F117" s="21">
        <v>11.8</v>
      </c>
      <c r="G117" s="19">
        <v>13.6</v>
      </c>
      <c r="H117" s="19">
        <v>12.9</v>
      </c>
      <c r="I117" s="20">
        <v>12.3</v>
      </c>
      <c r="J117" s="21">
        <v>13</v>
      </c>
      <c r="K117" s="4"/>
      <c r="L117" s="4">
        <v>9</v>
      </c>
      <c r="M117" s="32">
        <f t="shared" si="54"/>
        <v>9.3888888888888875</v>
      </c>
      <c r="N117" s="32">
        <f t="shared" si="55"/>
        <v>9.8480392156862742</v>
      </c>
      <c r="O117" s="32">
        <f t="shared" si="56"/>
        <v>10.753086419753085</v>
      </c>
      <c r="P117" s="32">
        <f t="shared" si="57"/>
        <v>9.7140522875817013</v>
      </c>
      <c r="Q117" s="22">
        <f t="shared" si="58"/>
        <v>9.9260167029774884</v>
      </c>
      <c r="R117" s="4"/>
      <c r="S117" s="4">
        <v>9</v>
      </c>
      <c r="T117" s="19">
        <f t="shared" si="59"/>
        <v>88.4</v>
      </c>
      <c r="U117" s="19">
        <f t="shared" si="60"/>
        <v>88.2</v>
      </c>
      <c r="V117" s="19">
        <f t="shared" si="61"/>
        <v>87.1</v>
      </c>
      <c r="W117" s="19">
        <f t="shared" si="62"/>
        <v>87</v>
      </c>
      <c r="X117" s="11"/>
      <c r="Y117" s="11"/>
    </row>
    <row r="118" spans="1:25" ht="14.5" x14ac:dyDescent="0.35">
      <c r="A118" s="4"/>
      <c r="B118" s="4">
        <v>10</v>
      </c>
      <c r="C118" s="19">
        <v>12.1</v>
      </c>
      <c r="D118" s="19">
        <v>11.7</v>
      </c>
      <c r="E118" s="20">
        <v>11.8</v>
      </c>
      <c r="F118" s="21">
        <v>11.6</v>
      </c>
      <c r="G118" s="19">
        <v>12.1</v>
      </c>
      <c r="H118" s="19">
        <v>11.4</v>
      </c>
      <c r="I118" s="20">
        <v>11.4</v>
      </c>
      <c r="J118" s="21">
        <v>12.5</v>
      </c>
      <c r="K118" s="4"/>
      <c r="L118" s="4">
        <v>10</v>
      </c>
      <c r="M118" s="32">
        <f t="shared" si="54"/>
        <v>9.6988925199709506</v>
      </c>
      <c r="N118" s="32">
        <f t="shared" si="55"/>
        <v>9.4691358024691361</v>
      </c>
      <c r="O118" s="32">
        <f t="shared" si="56"/>
        <v>9.731844589687725</v>
      </c>
      <c r="P118" s="32">
        <f t="shared" si="57"/>
        <v>9.0550108932461857</v>
      </c>
      <c r="Q118" s="22">
        <f t="shared" si="58"/>
        <v>9.4887209513434989</v>
      </c>
      <c r="R118" s="4"/>
      <c r="S118" s="4">
        <v>10</v>
      </c>
      <c r="T118" s="19">
        <f t="shared" si="59"/>
        <v>88.3</v>
      </c>
      <c r="U118" s="19">
        <f t="shared" si="60"/>
        <v>88.4</v>
      </c>
      <c r="V118" s="19">
        <f t="shared" si="61"/>
        <v>88.6</v>
      </c>
      <c r="W118" s="19">
        <f t="shared" si="62"/>
        <v>87.5</v>
      </c>
      <c r="X118" s="11"/>
      <c r="Y118" s="11"/>
    </row>
    <row r="119" spans="1:25" ht="14.5" x14ac:dyDescent="0.35">
      <c r="A119" s="4"/>
      <c r="B119" s="4">
        <v>11</v>
      </c>
      <c r="C119" s="19">
        <v>11.8</v>
      </c>
      <c r="D119" s="19">
        <v>11.6</v>
      </c>
      <c r="E119" s="20">
        <v>12.4</v>
      </c>
      <c r="F119" s="21">
        <v>11.8</v>
      </c>
      <c r="G119" s="19">
        <v>12.8</v>
      </c>
      <c r="H119" s="19">
        <v>11.8</v>
      </c>
      <c r="I119" s="20">
        <v>12.6</v>
      </c>
      <c r="J119" s="21">
        <v>13.1</v>
      </c>
      <c r="K119" s="4"/>
      <c r="L119" s="4">
        <v>11</v>
      </c>
      <c r="M119" s="32">
        <f t="shared" si="54"/>
        <v>9.4691358024691361</v>
      </c>
      <c r="N119" s="32">
        <f t="shared" si="55"/>
        <v>9.9281045751633989</v>
      </c>
      <c r="O119" s="32">
        <f t="shared" si="56"/>
        <v>10.248366013071895</v>
      </c>
      <c r="P119" s="32">
        <f t="shared" si="57"/>
        <v>9.93954248366013</v>
      </c>
      <c r="Q119" s="22">
        <f t="shared" si="58"/>
        <v>9.8962872185911408</v>
      </c>
      <c r="R119" s="4"/>
      <c r="S119" s="4">
        <v>11</v>
      </c>
      <c r="T119" s="19">
        <f t="shared" si="59"/>
        <v>88.4</v>
      </c>
      <c r="U119" s="19">
        <f t="shared" si="60"/>
        <v>88.2</v>
      </c>
      <c r="V119" s="19">
        <f t="shared" si="61"/>
        <v>88.2</v>
      </c>
      <c r="W119" s="19">
        <f t="shared" si="62"/>
        <v>86.9</v>
      </c>
      <c r="X119" s="11"/>
      <c r="Y119" s="11"/>
    </row>
    <row r="120" spans="1:25" ht="14.5" x14ac:dyDescent="0.35">
      <c r="A120" s="4"/>
      <c r="B120" s="4">
        <v>12</v>
      </c>
      <c r="C120" s="19">
        <v>11.1</v>
      </c>
      <c r="D120" s="19">
        <v>11.8</v>
      </c>
      <c r="E120" s="20">
        <v>10.6</v>
      </c>
      <c r="F120" s="21">
        <v>11</v>
      </c>
      <c r="G120" s="19">
        <v>12.6</v>
      </c>
      <c r="H120" s="19">
        <v>14.7</v>
      </c>
      <c r="I120" s="20">
        <v>10.8</v>
      </c>
      <c r="J120" s="21">
        <v>11.3</v>
      </c>
      <c r="K120" s="4"/>
      <c r="L120" s="4">
        <v>12</v>
      </c>
      <c r="M120" s="32">
        <f t="shared" si="54"/>
        <v>8.8872549019607838</v>
      </c>
      <c r="N120" s="32">
        <f t="shared" si="55"/>
        <v>8.5639070442991994</v>
      </c>
      <c r="O120" s="32">
        <f t="shared" si="56"/>
        <v>9.7565359477124165</v>
      </c>
      <c r="P120" s="32">
        <f t="shared" si="57"/>
        <v>8.6960784313725483</v>
      </c>
      <c r="Q120" s="22">
        <f t="shared" si="58"/>
        <v>8.9759440813362374</v>
      </c>
      <c r="R120" s="4"/>
      <c r="S120" s="4">
        <v>12</v>
      </c>
      <c r="T120" s="19">
        <f t="shared" si="59"/>
        <v>88.2</v>
      </c>
      <c r="U120" s="19">
        <f t="shared" si="60"/>
        <v>89</v>
      </c>
      <c r="V120" s="19">
        <f t="shared" si="61"/>
        <v>85.3</v>
      </c>
      <c r="W120" s="19">
        <f t="shared" si="62"/>
        <v>88.7</v>
      </c>
      <c r="X120" s="11"/>
      <c r="Y120" s="11"/>
    </row>
    <row r="121" spans="1:25" ht="14.5" x14ac:dyDescent="0.35">
      <c r="A121" s="4"/>
      <c r="B121" s="4">
        <v>13</v>
      </c>
      <c r="C121" s="19">
        <v>10.9</v>
      </c>
      <c r="D121" s="19">
        <v>11.1</v>
      </c>
      <c r="E121" s="20">
        <v>11.5</v>
      </c>
      <c r="F121" s="21">
        <v>11.2</v>
      </c>
      <c r="G121" s="19">
        <v>11.9</v>
      </c>
      <c r="H121" s="19">
        <v>10.9</v>
      </c>
      <c r="I121" s="20">
        <v>11.6</v>
      </c>
      <c r="J121" s="21">
        <v>11.6</v>
      </c>
      <c r="K121" s="4"/>
      <c r="L121" s="4">
        <v>13</v>
      </c>
      <c r="M121" s="32">
        <f t="shared" si="54"/>
        <v>8.7963870733478586</v>
      </c>
      <c r="N121" s="32">
        <f t="shared" si="55"/>
        <v>9.2701525054466227</v>
      </c>
      <c r="O121" s="32">
        <f t="shared" si="56"/>
        <v>9.625</v>
      </c>
      <c r="P121" s="32">
        <f t="shared" si="57"/>
        <v>9.3086419753086407</v>
      </c>
      <c r="Q121" s="22">
        <f t="shared" si="58"/>
        <v>9.2500453885257805</v>
      </c>
      <c r="R121" s="4"/>
      <c r="S121" s="4">
        <v>13</v>
      </c>
      <c r="T121" s="19">
        <f t="shared" si="59"/>
        <v>88.9</v>
      </c>
      <c r="U121" s="19">
        <f t="shared" si="60"/>
        <v>88.8</v>
      </c>
      <c r="V121" s="19">
        <f t="shared" si="61"/>
        <v>89.1</v>
      </c>
      <c r="W121" s="19">
        <f t="shared" si="62"/>
        <v>88.4</v>
      </c>
      <c r="X121" s="11"/>
      <c r="Y121" s="11"/>
    </row>
    <row r="122" spans="1:25" ht="14.5" x14ac:dyDescent="0.35">
      <c r="A122" s="4"/>
      <c r="B122" s="4">
        <v>14</v>
      </c>
      <c r="C122" s="19">
        <v>11.1</v>
      </c>
      <c r="D122" s="19">
        <v>11</v>
      </c>
      <c r="E122" s="20">
        <v>11.5</v>
      </c>
      <c r="F122" s="21">
        <v>11.8</v>
      </c>
      <c r="G122" s="19">
        <v>11.6</v>
      </c>
      <c r="H122" s="19">
        <v>12.2</v>
      </c>
      <c r="I122" s="20">
        <v>10.7</v>
      </c>
      <c r="J122" s="21">
        <v>12.8</v>
      </c>
      <c r="K122" s="4"/>
      <c r="L122" s="4">
        <v>14</v>
      </c>
      <c r="M122" s="32">
        <f t="shared" si="54"/>
        <v>8.9678649237472747</v>
      </c>
      <c r="N122" s="32">
        <f t="shared" si="55"/>
        <v>9.2075163398692812</v>
      </c>
      <c r="O122" s="32">
        <f t="shared" si="56"/>
        <v>9.2454611474219313</v>
      </c>
      <c r="P122" s="32">
        <f t="shared" si="57"/>
        <v>8.469862018881626</v>
      </c>
      <c r="Q122" s="22">
        <f t="shared" si="58"/>
        <v>8.9726761074800283</v>
      </c>
      <c r="R122" s="4"/>
      <c r="S122" s="4">
        <v>14</v>
      </c>
      <c r="T122" s="19">
        <f t="shared" si="59"/>
        <v>89</v>
      </c>
      <c r="U122" s="19">
        <f t="shared" si="60"/>
        <v>88.2</v>
      </c>
      <c r="V122" s="19">
        <f t="shared" si="61"/>
        <v>87.8</v>
      </c>
      <c r="W122" s="19">
        <f t="shared" si="62"/>
        <v>87.2</v>
      </c>
      <c r="X122" s="11"/>
      <c r="Y122" s="11"/>
    </row>
    <row r="123" spans="1:25" ht="14.5" x14ac:dyDescent="0.35">
      <c r="A123" s="4"/>
      <c r="B123" s="4">
        <v>15</v>
      </c>
      <c r="C123" s="19">
        <v>9.92</v>
      </c>
      <c r="D123" s="19">
        <v>11.1</v>
      </c>
      <c r="E123" s="20">
        <v>10</v>
      </c>
      <c r="F123" s="21">
        <v>11.2</v>
      </c>
      <c r="G123" s="19">
        <v>11.3</v>
      </c>
      <c r="H123" s="19">
        <v>12.3</v>
      </c>
      <c r="I123" s="20">
        <v>11.3</v>
      </c>
      <c r="J123" s="21">
        <v>11.8</v>
      </c>
      <c r="K123" s="4"/>
      <c r="L123" s="4">
        <v>15</v>
      </c>
      <c r="M123" s="32">
        <f t="shared" si="54"/>
        <v>8.0055192447349306</v>
      </c>
      <c r="N123" s="32">
        <f t="shared" si="55"/>
        <v>8.0610021786492361</v>
      </c>
      <c r="O123" s="32">
        <f t="shared" si="56"/>
        <v>8.9960965867828619</v>
      </c>
      <c r="P123" s="32">
        <f t="shared" si="57"/>
        <v>9.0473856209150334</v>
      </c>
      <c r="Q123" s="22">
        <f t="shared" si="58"/>
        <v>8.5275009077705164</v>
      </c>
      <c r="R123" s="4"/>
      <c r="S123" s="4">
        <v>15</v>
      </c>
      <c r="T123" s="19">
        <f t="shared" si="59"/>
        <v>88.9</v>
      </c>
      <c r="U123" s="19">
        <f t="shared" si="60"/>
        <v>88.8</v>
      </c>
      <c r="V123" s="19">
        <f t="shared" si="61"/>
        <v>87.7</v>
      </c>
      <c r="W123" s="19">
        <f t="shared" si="62"/>
        <v>88.2</v>
      </c>
      <c r="X123" s="11"/>
      <c r="Y123" s="11"/>
    </row>
    <row r="124" spans="1:25" ht="14.5" x14ac:dyDescent="0.35">
      <c r="A124" s="4"/>
      <c r="B124" s="4"/>
      <c r="C124" s="43" t="s">
        <v>500</v>
      </c>
      <c r="D124" s="43"/>
      <c r="E124" s="44" t="s">
        <v>501</v>
      </c>
      <c r="F124" s="45"/>
      <c r="G124" s="43" t="s">
        <v>502</v>
      </c>
      <c r="H124" s="43"/>
      <c r="I124" s="44" t="s">
        <v>503</v>
      </c>
      <c r="J124" s="45"/>
      <c r="K124" s="4"/>
      <c r="L124" s="4"/>
      <c r="M124" s="19"/>
      <c r="N124" s="19"/>
      <c r="O124" s="19"/>
      <c r="P124" s="19"/>
      <c r="Q124" s="35">
        <f>AVERAGE(Q109:Q123)</f>
        <v>8.97917952674897</v>
      </c>
      <c r="R124" s="4"/>
      <c r="S124" s="4"/>
      <c r="T124" s="19"/>
      <c r="U124" s="19"/>
      <c r="V124" s="19"/>
      <c r="W124" s="19"/>
      <c r="X124" s="11"/>
      <c r="Y124" s="11"/>
    </row>
    <row r="125" spans="1:25" ht="14.5" x14ac:dyDescent="0.35">
      <c r="A125" s="4"/>
      <c r="B125" s="4"/>
      <c r="C125" s="23" t="s">
        <v>505</v>
      </c>
      <c r="D125" s="23" t="s">
        <v>506</v>
      </c>
      <c r="E125" s="24" t="s">
        <v>505</v>
      </c>
      <c r="F125" s="25" t="s">
        <v>506</v>
      </c>
      <c r="G125" s="23" t="s">
        <v>505</v>
      </c>
      <c r="H125" s="23" t="s">
        <v>506</v>
      </c>
      <c r="I125" s="24" t="s">
        <v>505</v>
      </c>
      <c r="J125" s="25" t="s">
        <v>506</v>
      </c>
      <c r="K125" s="4"/>
      <c r="L125" s="4"/>
      <c r="M125" s="4" t="s">
        <v>500</v>
      </c>
      <c r="N125" s="4" t="s">
        <v>501</v>
      </c>
      <c r="O125" s="4" t="s">
        <v>502</v>
      </c>
      <c r="P125" s="4" t="s">
        <v>503</v>
      </c>
      <c r="Q125" s="18" t="s">
        <v>507</v>
      </c>
      <c r="R125" s="4"/>
      <c r="S125" s="4"/>
      <c r="T125" s="4" t="s">
        <v>500</v>
      </c>
      <c r="U125" s="4" t="s">
        <v>501</v>
      </c>
      <c r="V125" s="4" t="s">
        <v>502</v>
      </c>
      <c r="W125" s="4" t="s">
        <v>503</v>
      </c>
      <c r="X125" s="11"/>
      <c r="Y125" s="11"/>
    </row>
    <row r="126" spans="1:25" ht="14.5" x14ac:dyDescent="0.35">
      <c r="A126" s="4"/>
      <c r="B126" s="4">
        <v>1</v>
      </c>
      <c r="C126" s="19">
        <v>6.38</v>
      </c>
      <c r="D126" s="19">
        <v>10.8</v>
      </c>
      <c r="E126" s="20">
        <v>5.57</v>
      </c>
      <c r="F126" s="21">
        <v>10.8</v>
      </c>
      <c r="G126" s="19">
        <v>6.2</v>
      </c>
      <c r="H126" s="19">
        <v>13.5</v>
      </c>
      <c r="I126" s="20">
        <v>6.27</v>
      </c>
      <c r="J126" s="21">
        <v>11.8</v>
      </c>
      <c r="K126" s="4"/>
      <c r="L126" s="4">
        <v>1</v>
      </c>
      <c r="M126" s="32">
        <f>+(((C126*T126)/85)/12.96)*10</f>
        <v>5.1660856935366741</v>
      </c>
      <c r="N126" s="32">
        <f>+(((E126*U126)/85)/12.96)*10</f>
        <v>4.5102033405954973</v>
      </c>
      <c r="O126" s="32">
        <f>+(((G126*V126)/85)/12.96)*10</f>
        <v>4.8683732752360207</v>
      </c>
      <c r="P126" s="32">
        <f>+(((I126*W126)/85)/12.96)*10</f>
        <v>5.0200980392156858</v>
      </c>
      <c r="Q126" s="22">
        <f>AVERAGE(M126:P126)</f>
        <v>4.8911900871459695</v>
      </c>
      <c r="R126" s="4"/>
      <c r="S126" s="4">
        <v>1</v>
      </c>
      <c r="T126" s="19">
        <f>+(100-D126)</f>
        <v>89.2</v>
      </c>
      <c r="U126" s="19">
        <f>+(100-F126)</f>
        <v>89.2</v>
      </c>
      <c r="V126" s="19">
        <f>+(100-H126)</f>
        <v>86.5</v>
      </c>
      <c r="W126" s="19">
        <f>+(100-J126)</f>
        <v>88.2</v>
      </c>
      <c r="X126" s="11"/>
      <c r="Y126" s="11"/>
    </row>
    <row r="127" spans="1:25" ht="14.5" x14ac:dyDescent="0.35">
      <c r="A127" s="4"/>
      <c r="B127" s="4">
        <v>2</v>
      </c>
      <c r="C127" s="19">
        <v>11.1</v>
      </c>
      <c r="D127" s="19">
        <v>12.1</v>
      </c>
      <c r="E127" s="20">
        <v>11.9</v>
      </c>
      <c r="F127" s="21">
        <v>11.9</v>
      </c>
      <c r="G127" s="19">
        <v>13.6</v>
      </c>
      <c r="H127" s="19">
        <v>13.1</v>
      </c>
      <c r="I127" s="20">
        <v>13.2</v>
      </c>
      <c r="J127" s="21">
        <v>13.3</v>
      </c>
      <c r="K127" s="4"/>
      <c r="L127" s="4">
        <v>2</v>
      </c>
      <c r="M127" s="32">
        <f t="shared" ref="M127:M140" si="63">+(((C127*T127)/85)/12.96)*10</f>
        <v>8.8570261437908506</v>
      </c>
      <c r="N127" s="32">
        <f t="shared" ref="N127:N140" si="64">+(((E127*U127)/85)/12.96)*10</f>
        <v>9.5169753086419728</v>
      </c>
      <c r="O127" s="32">
        <f t="shared" ref="O127:O140" si="65">+(((G127*V127)/85)/12.96)*10</f>
        <v>10.728395061728396</v>
      </c>
      <c r="P127" s="32">
        <f t="shared" ref="P127:P140" si="66">+(((I127*W127)/85)/12.96)*10</f>
        <v>10.388888888888888</v>
      </c>
      <c r="Q127" s="22">
        <f t="shared" ref="Q127:Q140" si="67">AVERAGE(M127:P127)</f>
        <v>9.8728213507625266</v>
      </c>
      <c r="R127" s="4"/>
      <c r="S127" s="4">
        <v>2</v>
      </c>
      <c r="T127" s="19">
        <f t="shared" ref="T127:T140" si="68">+(100-D127)</f>
        <v>87.9</v>
      </c>
      <c r="U127" s="19">
        <f t="shared" ref="U127:U140" si="69">+(100-F127)</f>
        <v>88.1</v>
      </c>
      <c r="V127" s="19">
        <f t="shared" ref="V127:V140" si="70">+(100-H127)</f>
        <v>86.9</v>
      </c>
      <c r="W127" s="19">
        <f t="shared" ref="W127:W140" si="71">+(100-J127)</f>
        <v>86.7</v>
      </c>
      <c r="X127" s="11"/>
      <c r="Y127" s="11"/>
    </row>
    <row r="128" spans="1:25" ht="14.5" x14ac:dyDescent="0.35">
      <c r="A128" s="4"/>
      <c r="B128" s="4">
        <v>3</v>
      </c>
      <c r="C128" s="19">
        <v>11.8</v>
      </c>
      <c r="D128" s="19">
        <v>11.2</v>
      </c>
      <c r="E128" s="20">
        <v>10.8</v>
      </c>
      <c r="F128" s="21">
        <v>11.4</v>
      </c>
      <c r="G128" s="19">
        <v>9.0299999999999994</v>
      </c>
      <c r="H128" s="19">
        <v>11.6</v>
      </c>
      <c r="I128" s="20">
        <v>10.199999999999999</v>
      </c>
      <c r="J128" s="21">
        <v>12.2</v>
      </c>
      <c r="K128" s="4"/>
      <c r="L128" s="4">
        <v>3</v>
      </c>
      <c r="M128" s="32">
        <f t="shared" si="63"/>
        <v>9.5119825708060972</v>
      </c>
      <c r="N128" s="32">
        <f t="shared" si="64"/>
        <v>8.6862745098039209</v>
      </c>
      <c r="O128" s="32">
        <f t="shared" si="65"/>
        <v>7.2462962962962951</v>
      </c>
      <c r="P128" s="32">
        <f t="shared" si="66"/>
        <v>8.1296296296296298</v>
      </c>
      <c r="Q128" s="22">
        <f t="shared" si="67"/>
        <v>8.3935457516339866</v>
      </c>
      <c r="R128" s="4"/>
      <c r="S128" s="4">
        <v>3</v>
      </c>
      <c r="T128" s="19">
        <f t="shared" si="68"/>
        <v>88.8</v>
      </c>
      <c r="U128" s="19">
        <f t="shared" si="69"/>
        <v>88.6</v>
      </c>
      <c r="V128" s="19">
        <f t="shared" si="70"/>
        <v>88.4</v>
      </c>
      <c r="W128" s="19">
        <f t="shared" si="71"/>
        <v>87.8</v>
      </c>
      <c r="X128" s="11"/>
      <c r="Y128" s="11"/>
    </row>
    <row r="129" spans="1:25" ht="14.5" x14ac:dyDescent="0.35">
      <c r="A129" s="4"/>
      <c r="B129" s="4">
        <v>4</v>
      </c>
      <c r="C129" s="19">
        <v>11.8</v>
      </c>
      <c r="D129" s="19">
        <v>11.4</v>
      </c>
      <c r="E129" s="20">
        <v>11.3</v>
      </c>
      <c r="F129" s="21">
        <v>11.6</v>
      </c>
      <c r="G129" s="19">
        <v>12.1</v>
      </c>
      <c r="H129" s="19">
        <v>11.3</v>
      </c>
      <c r="I129" s="20">
        <v>11.4</v>
      </c>
      <c r="J129" s="21">
        <v>11.7</v>
      </c>
      <c r="K129" s="4"/>
      <c r="L129" s="4">
        <v>4</v>
      </c>
      <c r="M129" s="32">
        <f t="shared" si="63"/>
        <v>9.4905591866376167</v>
      </c>
      <c r="N129" s="32">
        <f t="shared" si="64"/>
        <v>9.067901234567902</v>
      </c>
      <c r="O129" s="32">
        <f t="shared" si="65"/>
        <v>9.742828612926651</v>
      </c>
      <c r="P129" s="32">
        <f t="shared" si="66"/>
        <v>9.1377995642701517</v>
      </c>
      <c r="Q129" s="22">
        <f t="shared" si="67"/>
        <v>9.3597721496005803</v>
      </c>
      <c r="R129" s="4"/>
      <c r="S129" s="4">
        <v>4</v>
      </c>
      <c r="T129" s="19">
        <f t="shared" si="68"/>
        <v>88.6</v>
      </c>
      <c r="U129" s="19">
        <f t="shared" si="69"/>
        <v>88.4</v>
      </c>
      <c r="V129" s="19">
        <f t="shared" si="70"/>
        <v>88.7</v>
      </c>
      <c r="W129" s="19">
        <f t="shared" si="71"/>
        <v>88.3</v>
      </c>
      <c r="X129" s="11"/>
      <c r="Y129" s="11"/>
    </row>
    <row r="130" spans="1:25" ht="14.5" x14ac:dyDescent="0.35">
      <c r="A130" s="4"/>
      <c r="B130" s="4">
        <v>5</v>
      </c>
      <c r="C130" s="19">
        <v>12.1</v>
      </c>
      <c r="D130" s="19">
        <v>11.5</v>
      </c>
      <c r="E130" s="20">
        <v>12</v>
      </c>
      <c r="F130" s="21">
        <v>11.9</v>
      </c>
      <c r="G130" s="19">
        <v>12.1</v>
      </c>
      <c r="H130" s="19">
        <v>12.9</v>
      </c>
      <c r="I130" s="20">
        <v>11.5</v>
      </c>
      <c r="J130" s="21">
        <v>11.7</v>
      </c>
      <c r="K130" s="4"/>
      <c r="L130" s="4">
        <v>5</v>
      </c>
      <c r="M130" s="32">
        <f t="shared" si="63"/>
        <v>9.7208605664488008</v>
      </c>
      <c r="N130" s="32">
        <f t="shared" si="64"/>
        <v>9.5969498910675348</v>
      </c>
      <c r="O130" s="32">
        <f t="shared" si="65"/>
        <v>9.5670842411038475</v>
      </c>
      <c r="P130" s="32">
        <f t="shared" si="66"/>
        <v>9.2179557007988357</v>
      </c>
      <c r="Q130" s="22">
        <f t="shared" si="67"/>
        <v>9.5257125998547565</v>
      </c>
      <c r="R130" s="4"/>
      <c r="S130" s="4">
        <v>5</v>
      </c>
      <c r="T130" s="19">
        <f t="shared" si="68"/>
        <v>88.5</v>
      </c>
      <c r="U130" s="19">
        <f t="shared" si="69"/>
        <v>88.1</v>
      </c>
      <c r="V130" s="19">
        <f t="shared" si="70"/>
        <v>87.1</v>
      </c>
      <c r="W130" s="19">
        <f t="shared" si="71"/>
        <v>88.3</v>
      </c>
      <c r="X130" s="11"/>
      <c r="Y130" s="11"/>
    </row>
    <row r="131" spans="1:25" ht="14.5" x14ac:dyDescent="0.35">
      <c r="A131" s="14" t="s">
        <v>522</v>
      </c>
      <c r="B131" s="4">
        <v>6</v>
      </c>
      <c r="C131" s="19">
        <v>11.8</v>
      </c>
      <c r="D131" s="19">
        <v>11.4</v>
      </c>
      <c r="E131" s="20">
        <v>11.5</v>
      </c>
      <c r="F131" s="21">
        <v>11.3</v>
      </c>
      <c r="G131" s="19">
        <v>11.9</v>
      </c>
      <c r="H131" s="19">
        <v>12</v>
      </c>
      <c r="I131" s="20">
        <v>11.7</v>
      </c>
      <c r="J131" s="21">
        <v>11.9</v>
      </c>
      <c r="K131" s="14" t="s">
        <v>522</v>
      </c>
      <c r="L131" s="4">
        <v>6</v>
      </c>
      <c r="M131" s="32">
        <f t="shared" si="63"/>
        <v>9.4905591866376167</v>
      </c>
      <c r="N131" s="32">
        <f t="shared" si="64"/>
        <v>9.2597131445170664</v>
      </c>
      <c r="O131" s="32">
        <f t="shared" si="65"/>
        <v>9.5061728395061724</v>
      </c>
      <c r="P131" s="32">
        <f t="shared" si="66"/>
        <v>9.3570261437908488</v>
      </c>
      <c r="Q131" s="22">
        <f t="shared" si="67"/>
        <v>9.4033678286129252</v>
      </c>
      <c r="R131" s="14" t="s">
        <v>522</v>
      </c>
      <c r="S131" s="4">
        <v>6</v>
      </c>
      <c r="T131" s="19">
        <f t="shared" si="68"/>
        <v>88.6</v>
      </c>
      <c r="U131" s="19">
        <f t="shared" si="69"/>
        <v>88.7</v>
      </c>
      <c r="V131" s="19">
        <f t="shared" si="70"/>
        <v>88</v>
      </c>
      <c r="W131" s="19">
        <f t="shared" si="71"/>
        <v>88.1</v>
      </c>
      <c r="X131" s="11"/>
      <c r="Y131" s="11"/>
    </row>
    <row r="132" spans="1:25" ht="14.5" x14ac:dyDescent="0.35">
      <c r="A132" s="4" t="s">
        <v>523</v>
      </c>
      <c r="B132" s="4">
        <v>7</v>
      </c>
      <c r="C132" s="19">
        <v>12</v>
      </c>
      <c r="D132" s="19">
        <v>10.9</v>
      </c>
      <c r="E132" s="20">
        <v>10.6</v>
      </c>
      <c r="F132" s="21">
        <v>10.8</v>
      </c>
      <c r="G132" s="19">
        <v>10.4</v>
      </c>
      <c r="H132" s="19">
        <v>12</v>
      </c>
      <c r="I132" s="20">
        <v>10.4</v>
      </c>
      <c r="J132" s="21">
        <v>13.2</v>
      </c>
      <c r="K132" s="4" t="s">
        <v>523</v>
      </c>
      <c r="L132" s="4">
        <v>7</v>
      </c>
      <c r="M132" s="32">
        <f t="shared" si="63"/>
        <v>9.705882352941174</v>
      </c>
      <c r="N132" s="32">
        <f t="shared" si="64"/>
        <v>8.5831517792302101</v>
      </c>
      <c r="O132" s="32">
        <f t="shared" si="65"/>
        <v>8.3079157588961507</v>
      </c>
      <c r="P132" s="32">
        <f t="shared" si="66"/>
        <v>8.1946259985475667</v>
      </c>
      <c r="Q132" s="22">
        <f t="shared" si="67"/>
        <v>8.6978939724037758</v>
      </c>
      <c r="R132" s="4" t="s">
        <v>523</v>
      </c>
      <c r="S132" s="4">
        <v>7</v>
      </c>
      <c r="T132" s="19">
        <f t="shared" si="68"/>
        <v>89.1</v>
      </c>
      <c r="U132" s="19">
        <f t="shared" si="69"/>
        <v>89.2</v>
      </c>
      <c r="V132" s="19">
        <f t="shared" si="70"/>
        <v>88</v>
      </c>
      <c r="W132" s="19">
        <f t="shared" si="71"/>
        <v>86.8</v>
      </c>
      <c r="X132" s="11"/>
      <c r="Y132" s="11"/>
    </row>
    <row r="133" spans="1:25" ht="14.5" x14ac:dyDescent="0.35">
      <c r="A133" s="4"/>
      <c r="B133" s="4">
        <v>8</v>
      </c>
      <c r="C133" s="19">
        <v>11</v>
      </c>
      <c r="D133" s="19">
        <v>14.6</v>
      </c>
      <c r="E133" s="20">
        <v>11.4</v>
      </c>
      <c r="F133" s="21">
        <v>12.4</v>
      </c>
      <c r="G133" s="19">
        <v>11.9</v>
      </c>
      <c r="H133" s="19">
        <v>12</v>
      </c>
      <c r="I133" s="20">
        <v>11.3</v>
      </c>
      <c r="J133" s="21">
        <v>11.9</v>
      </c>
      <c r="K133" s="4"/>
      <c r="L133" s="4">
        <v>8</v>
      </c>
      <c r="M133" s="32">
        <f t="shared" si="63"/>
        <v>8.5275962236746548</v>
      </c>
      <c r="N133" s="32">
        <f t="shared" si="64"/>
        <v>9.0653594771241828</v>
      </c>
      <c r="O133" s="32">
        <f t="shared" si="65"/>
        <v>9.5061728395061724</v>
      </c>
      <c r="P133" s="32">
        <f t="shared" si="66"/>
        <v>9.0371278140885973</v>
      </c>
      <c r="Q133" s="22">
        <f t="shared" si="67"/>
        <v>9.0340640885984023</v>
      </c>
      <c r="R133" s="4"/>
      <c r="S133" s="4">
        <v>8</v>
      </c>
      <c r="T133" s="19">
        <f t="shared" si="68"/>
        <v>85.4</v>
      </c>
      <c r="U133" s="19">
        <f t="shared" si="69"/>
        <v>87.6</v>
      </c>
      <c r="V133" s="19">
        <f t="shared" si="70"/>
        <v>88</v>
      </c>
      <c r="W133" s="19">
        <f t="shared" si="71"/>
        <v>88.1</v>
      </c>
      <c r="X133" s="11"/>
      <c r="Y133" s="11"/>
    </row>
    <row r="134" spans="1:25" ht="14.5" x14ac:dyDescent="0.35">
      <c r="A134" s="4"/>
      <c r="B134" s="4">
        <v>9</v>
      </c>
      <c r="C134" s="19">
        <v>12.2</v>
      </c>
      <c r="D134" s="19">
        <v>11.3</v>
      </c>
      <c r="E134" s="20">
        <v>12.5</v>
      </c>
      <c r="F134" s="21">
        <v>12</v>
      </c>
      <c r="G134" s="19">
        <v>13.2</v>
      </c>
      <c r="H134" s="19">
        <v>12.4</v>
      </c>
      <c r="I134" s="20">
        <v>11.7</v>
      </c>
      <c r="J134" s="21">
        <v>12.6</v>
      </c>
      <c r="K134" s="4"/>
      <c r="L134" s="4">
        <v>9</v>
      </c>
      <c r="M134" s="32">
        <f t="shared" si="63"/>
        <v>9.8233478576615809</v>
      </c>
      <c r="N134" s="32">
        <f t="shared" si="64"/>
        <v>9.9854756717501818</v>
      </c>
      <c r="O134" s="32">
        <f t="shared" si="65"/>
        <v>10.496732026143789</v>
      </c>
      <c r="P134" s="32">
        <f t="shared" si="66"/>
        <v>9.2826797385620914</v>
      </c>
      <c r="Q134" s="22">
        <f t="shared" si="67"/>
        <v>9.8970588235294095</v>
      </c>
      <c r="R134" s="4"/>
      <c r="S134" s="4">
        <v>9</v>
      </c>
      <c r="T134" s="19">
        <f t="shared" si="68"/>
        <v>88.7</v>
      </c>
      <c r="U134" s="19">
        <f t="shared" si="69"/>
        <v>88</v>
      </c>
      <c r="V134" s="19">
        <f t="shared" si="70"/>
        <v>87.6</v>
      </c>
      <c r="W134" s="19">
        <f t="shared" si="71"/>
        <v>87.4</v>
      </c>
      <c r="X134" s="11"/>
      <c r="Y134" s="11"/>
    </row>
    <row r="135" spans="1:25" ht="14.5" x14ac:dyDescent="0.35">
      <c r="A135" s="4"/>
      <c r="B135" s="4">
        <v>10</v>
      </c>
      <c r="C135" s="19">
        <v>12</v>
      </c>
      <c r="D135" s="19">
        <v>11.4</v>
      </c>
      <c r="E135" s="20">
        <v>11.6</v>
      </c>
      <c r="F135" s="21">
        <v>11.6</v>
      </c>
      <c r="G135" s="19">
        <v>11.6</v>
      </c>
      <c r="H135" s="19">
        <v>11.1</v>
      </c>
      <c r="I135" s="20">
        <v>11.7</v>
      </c>
      <c r="J135" s="21">
        <v>12.5</v>
      </c>
      <c r="K135" s="4"/>
      <c r="L135" s="4">
        <v>10</v>
      </c>
      <c r="M135" s="32">
        <f t="shared" si="63"/>
        <v>9.6514161220043544</v>
      </c>
      <c r="N135" s="32">
        <f t="shared" si="64"/>
        <v>9.3086419753086407</v>
      </c>
      <c r="O135" s="32">
        <f t="shared" si="65"/>
        <v>9.3612926652142328</v>
      </c>
      <c r="P135" s="32">
        <f t="shared" si="66"/>
        <v>9.2933006535947698</v>
      </c>
      <c r="Q135" s="22">
        <f t="shared" si="67"/>
        <v>9.4036628540305003</v>
      </c>
      <c r="R135" s="4"/>
      <c r="S135" s="4">
        <v>10</v>
      </c>
      <c r="T135" s="19">
        <f t="shared" si="68"/>
        <v>88.6</v>
      </c>
      <c r="U135" s="19">
        <f t="shared" si="69"/>
        <v>88.4</v>
      </c>
      <c r="V135" s="19">
        <f t="shared" si="70"/>
        <v>88.9</v>
      </c>
      <c r="W135" s="19">
        <f t="shared" si="71"/>
        <v>87.5</v>
      </c>
      <c r="X135" s="11"/>
      <c r="Y135" s="11"/>
    </row>
    <row r="136" spans="1:25" ht="14.5" x14ac:dyDescent="0.35">
      <c r="A136" s="4"/>
      <c r="B136" s="4">
        <v>11</v>
      </c>
      <c r="C136" s="19">
        <v>13.3</v>
      </c>
      <c r="D136" s="19">
        <v>11.7</v>
      </c>
      <c r="E136" s="20">
        <v>12.8</v>
      </c>
      <c r="F136" s="21">
        <v>11.7</v>
      </c>
      <c r="G136" s="19">
        <v>12.2</v>
      </c>
      <c r="H136" s="19">
        <v>11.9</v>
      </c>
      <c r="I136" s="20">
        <v>12.8</v>
      </c>
      <c r="J136" s="21">
        <v>13.1</v>
      </c>
      <c r="K136" s="4"/>
      <c r="L136" s="4">
        <v>11</v>
      </c>
      <c r="M136" s="32">
        <f t="shared" si="63"/>
        <v>10.660766158315178</v>
      </c>
      <c r="N136" s="32">
        <f t="shared" si="64"/>
        <v>10.259985475671749</v>
      </c>
      <c r="O136" s="32">
        <f t="shared" si="65"/>
        <v>9.7568990559186624</v>
      </c>
      <c r="P136" s="32">
        <f t="shared" si="66"/>
        <v>10.097312999273784</v>
      </c>
      <c r="Q136" s="22">
        <f t="shared" si="67"/>
        <v>10.193740922294843</v>
      </c>
      <c r="R136" s="4"/>
      <c r="S136" s="4">
        <v>11</v>
      </c>
      <c r="T136" s="19">
        <f t="shared" si="68"/>
        <v>88.3</v>
      </c>
      <c r="U136" s="19">
        <f t="shared" si="69"/>
        <v>88.3</v>
      </c>
      <c r="V136" s="19">
        <f t="shared" si="70"/>
        <v>88.1</v>
      </c>
      <c r="W136" s="19">
        <f t="shared" si="71"/>
        <v>86.9</v>
      </c>
      <c r="X136" s="11"/>
      <c r="Y136" s="11"/>
    </row>
    <row r="137" spans="1:25" ht="14.5" x14ac:dyDescent="0.35">
      <c r="A137" s="4"/>
      <c r="B137" s="4">
        <v>12</v>
      </c>
      <c r="C137" s="19">
        <v>10.6</v>
      </c>
      <c r="D137" s="19">
        <v>11.1</v>
      </c>
      <c r="E137" s="20">
        <v>10.5</v>
      </c>
      <c r="F137" s="21">
        <v>10.9</v>
      </c>
      <c r="G137" s="19">
        <v>11.4</v>
      </c>
      <c r="H137" s="19">
        <v>12.8</v>
      </c>
      <c r="I137" s="20">
        <v>10.6</v>
      </c>
      <c r="J137" s="21">
        <v>11.2</v>
      </c>
      <c r="K137" s="4"/>
      <c r="L137" s="4">
        <v>12</v>
      </c>
      <c r="M137" s="32">
        <f t="shared" si="63"/>
        <v>8.5542846768336958</v>
      </c>
      <c r="N137" s="32">
        <f t="shared" si="64"/>
        <v>8.492647058823529</v>
      </c>
      <c r="O137" s="32">
        <f t="shared" si="65"/>
        <v>9.0239651416122015</v>
      </c>
      <c r="P137" s="32">
        <f t="shared" si="66"/>
        <v>8.5446623093681904</v>
      </c>
      <c r="Q137" s="22">
        <f t="shared" si="67"/>
        <v>8.6538897966594046</v>
      </c>
      <c r="R137" s="4"/>
      <c r="S137" s="4">
        <v>12</v>
      </c>
      <c r="T137" s="19">
        <f t="shared" si="68"/>
        <v>88.9</v>
      </c>
      <c r="U137" s="19">
        <f t="shared" si="69"/>
        <v>89.1</v>
      </c>
      <c r="V137" s="19">
        <f t="shared" si="70"/>
        <v>87.2</v>
      </c>
      <c r="W137" s="19">
        <f t="shared" si="71"/>
        <v>88.8</v>
      </c>
      <c r="X137" s="11"/>
      <c r="Y137" s="11"/>
    </row>
    <row r="138" spans="1:25" ht="14.5" x14ac:dyDescent="0.35">
      <c r="A138" s="4"/>
      <c r="B138" s="4">
        <v>13</v>
      </c>
      <c r="C138" s="19">
        <v>11.4</v>
      </c>
      <c r="D138" s="19">
        <v>11</v>
      </c>
      <c r="E138" s="20">
        <v>11.4</v>
      </c>
      <c r="F138" s="21">
        <v>11.1</v>
      </c>
      <c r="G138" s="19">
        <v>12</v>
      </c>
      <c r="H138" s="19">
        <v>10.8</v>
      </c>
      <c r="I138" s="20">
        <v>10.6</v>
      </c>
      <c r="J138" s="21">
        <v>11.8</v>
      </c>
      <c r="K138" s="4"/>
      <c r="L138" s="4">
        <v>13</v>
      </c>
      <c r="M138" s="32">
        <f t="shared" si="63"/>
        <v>9.2102396514161224</v>
      </c>
      <c r="N138" s="32">
        <f t="shared" si="64"/>
        <v>9.1998910675381254</v>
      </c>
      <c r="O138" s="32">
        <f t="shared" si="65"/>
        <v>9.7167755991285389</v>
      </c>
      <c r="P138" s="32">
        <f t="shared" si="66"/>
        <v>8.4869281045751634</v>
      </c>
      <c r="Q138" s="22">
        <f t="shared" si="67"/>
        <v>9.153458605664488</v>
      </c>
      <c r="R138" s="4"/>
      <c r="S138" s="4">
        <v>13</v>
      </c>
      <c r="T138" s="19">
        <f t="shared" si="68"/>
        <v>89</v>
      </c>
      <c r="U138" s="19">
        <f t="shared" si="69"/>
        <v>88.9</v>
      </c>
      <c r="V138" s="19">
        <f t="shared" si="70"/>
        <v>89.2</v>
      </c>
      <c r="W138" s="19">
        <f t="shared" si="71"/>
        <v>88.2</v>
      </c>
      <c r="X138" s="11"/>
      <c r="Y138" s="11"/>
    </row>
    <row r="139" spans="1:25" ht="14.5" x14ac:dyDescent="0.35">
      <c r="A139" s="4"/>
      <c r="B139" s="4">
        <v>14</v>
      </c>
      <c r="C139" s="19">
        <v>11.5</v>
      </c>
      <c r="D139" s="19">
        <v>11.5</v>
      </c>
      <c r="E139" s="20">
        <v>11.3</v>
      </c>
      <c r="F139" s="21">
        <v>11.6</v>
      </c>
      <c r="G139" s="19">
        <v>12.4</v>
      </c>
      <c r="H139" s="19">
        <v>11.2</v>
      </c>
      <c r="I139" s="20">
        <v>11.3</v>
      </c>
      <c r="J139" s="21">
        <v>12.3</v>
      </c>
      <c r="K139" s="4"/>
      <c r="L139" s="4">
        <v>14</v>
      </c>
      <c r="M139" s="32">
        <f t="shared" si="63"/>
        <v>9.238834422657952</v>
      </c>
      <c r="N139" s="32">
        <f t="shared" si="64"/>
        <v>9.067901234567902</v>
      </c>
      <c r="O139" s="32">
        <f t="shared" si="65"/>
        <v>9.9956427015250533</v>
      </c>
      <c r="P139" s="32">
        <f t="shared" si="66"/>
        <v>8.9960965867828619</v>
      </c>
      <c r="Q139" s="22">
        <f t="shared" si="67"/>
        <v>9.3246187363834423</v>
      </c>
      <c r="R139" s="4"/>
      <c r="S139" s="4">
        <v>14</v>
      </c>
      <c r="T139" s="19">
        <f t="shared" si="68"/>
        <v>88.5</v>
      </c>
      <c r="U139" s="19">
        <f t="shared" si="69"/>
        <v>88.4</v>
      </c>
      <c r="V139" s="19">
        <f t="shared" si="70"/>
        <v>88.8</v>
      </c>
      <c r="W139" s="19">
        <f t="shared" si="71"/>
        <v>87.7</v>
      </c>
      <c r="X139" s="11"/>
      <c r="Y139" s="11"/>
    </row>
    <row r="140" spans="1:25" ht="14.5" x14ac:dyDescent="0.35">
      <c r="A140" s="28"/>
      <c r="B140" s="4">
        <v>15</v>
      </c>
      <c r="C140" s="19">
        <v>9.85</v>
      </c>
      <c r="D140" s="19">
        <v>10.7</v>
      </c>
      <c r="E140" s="20">
        <v>10.6</v>
      </c>
      <c r="F140" s="21">
        <v>11</v>
      </c>
      <c r="G140" s="19">
        <v>11.1</v>
      </c>
      <c r="H140" s="19">
        <v>12.3</v>
      </c>
      <c r="I140" s="20">
        <v>11.4</v>
      </c>
      <c r="J140" s="29">
        <v>11.9</v>
      </c>
      <c r="K140" s="28"/>
      <c r="L140" s="4">
        <v>15</v>
      </c>
      <c r="M140" s="32">
        <f t="shared" si="63"/>
        <v>7.9847948438634697</v>
      </c>
      <c r="N140" s="32">
        <f t="shared" si="64"/>
        <v>8.5639070442991994</v>
      </c>
      <c r="O140" s="32">
        <f t="shared" si="65"/>
        <v>8.8368736383442261</v>
      </c>
      <c r="P140" s="32">
        <f t="shared" si="66"/>
        <v>9.1171023965141593</v>
      </c>
      <c r="Q140" s="22">
        <f t="shared" si="67"/>
        <v>8.6256694807552634</v>
      </c>
      <c r="R140" s="28"/>
      <c r="S140" s="4">
        <v>15</v>
      </c>
      <c r="T140" s="19">
        <f t="shared" si="68"/>
        <v>89.3</v>
      </c>
      <c r="U140" s="19">
        <f t="shared" si="69"/>
        <v>89</v>
      </c>
      <c r="V140" s="19">
        <f t="shared" si="70"/>
        <v>87.7</v>
      </c>
      <c r="W140" s="19">
        <f t="shared" si="71"/>
        <v>88.1</v>
      </c>
      <c r="X140" s="11"/>
      <c r="Y140" s="11"/>
    </row>
    <row r="141" spans="1:25" ht="14.5" x14ac:dyDescent="0.35">
      <c r="A141" s="28"/>
      <c r="B141" s="28"/>
      <c r="C141" s="30"/>
      <c r="D141" s="30"/>
      <c r="E141" s="31"/>
      <c r="F141" s="31"/>
      <c r="G141" s="30"/>
      <c r="H141" s="30"/>
      <c r="I141" s="30"/>
      <c r="J141" s="4"/>
      <c r="K141" s="28"/>
      <c r="L141" s="28"/>
      <c r="M141" s="30"/>
      <c r="N141" s="31"/>
      <c r="O141" s="30"/>
      <c r="P141" s="30"/>
      <c r="Q141" s="35">
        <f>AVERAGE(Q126:Q140)</f>
        <v>8.9620311365286849</v>
      </c>
      <c r="R141" s="11"/>
      <c r="S141" s="11"/>
      <c r="T141" s="11"/>
      <c r="U141" s="11"/>
      <c r="V141" s="11"/>
      <c r="W141" s="11"/>
      <c r="X141" s="11"/>
      <c r="Y141" s="11"/>
    </row>
    <row r="142" spans="1:25" ht="14.5" x14ac:dyDescent="0.35">
      <c r="A142" s="28"/>
      <c r="B142" s="28"/>
      <c r="C142" s="14"/>
      <c r="D142" s="14"/>
      <c r="E142" s="14"/>
      <c r="F142" s="14"/>
      <c r="G142" s="14"/>
      <c r="H142" s="14"/>
      <c r="I142" s="14"/>
      <c r="J142" s="14"/>
      <c r="K142" s="28"/>
      <c r="L142" s="28"/>
      <c r="M142" s="14"/>
      <c r="N142" s="14"/>
      <c r="O142" s="14"/>
      <c r="P142" s="14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4.5" x14ac:dyDescent="0.35">
      <c r="A143" s="28"/>
      <c r="B143" s="14"/>
      <c r="C143" s="19"/>
      <c r="D143" s="19"/>
      <c r="E143" s="19"/>
      <c r="F143" s="19"/>
      <c r="G143" s="19"/>
      <c r="H143" s="19"/>
      <c r="I143" s="19"/>
      <c r="J143" s="19"/>
      <c r="K143" s="28"/>
      <c r="L143" s="14"/>
      <c r="M143" s="19"/>
      <c r="N143" s="19"/>
      <c r="O143" s="19"/>
      <c r="P143" s="19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4.5" x14ac:dyDescent="0.35">
      <c r="A144" s="28"/>
      <c r="B144" s="14"/>
      <c r="C144" s="19"/>
      <c r="D144" s="19"/>
      <c r="E144" s="19"/>
      <c r="F144" s="19"/>
      <c r="G144" s="19"/>
      <c r="H144" s="19"/>
      <c r="I144" s="19"/>
      <c r="J144" s="19"/>
      <c r="K144" s="28"/>
      <c r="L144" s="14"/>
      <c r="M144" s="19"/>
      <c r="N144" s="19"/>
      <c r="O144" s="19"/>
      <c r="P144" s="19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4.5" x14ac:dyDescent="0.35">
      <c r="A145" s="28"/>
      <c r="B145" s="14"/>
      <c r="C145" s="19"/>
      <c r="D145" s="19"/>
      <c r="E145" s="19"/>
      <c r="F145" s="19"/>
      <c r="G145" s="19"/>
      <c r="H145" s="19"/>
      <c r="I145" s="19"/>
      <c r="J145" s="19"/>
      <c r="K145" s="28"/>
      <c r="L145" s="14"/>
      <c r="M145" s="19"/>
      <c r="N145" s="19"/>
      <c r="O145" s="19"/>
      <c r="P145" s="19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4.5" x14ac:dyDescent="0.35">
      <c r="A146" s="28"/>
      <c r="B146" s="14"/>
      <c r="C146" s="19"/>
      <c r="D146" s="19"/>
      <c r="E146" s="19"/>
      <c r="F146" s="19"/>
      <c r="G146" s="19"/>
      <c r="H146" s="19"/>
      <c r="I146" s="19"/>
      <c r="J146" s="19"/>
      <c r="K146" s="28"/>
      <c r="L146" s="14"/>
      <c r="M146" s="19"/>
      <c r="N146" s="19"/>
      <c r="O146" s="19"/>
      <c r="P146" s="19"/>
      <c r="Q146" s="11"/>
      <c r="R146" s="11"/>
      <c r="S146" s="11"/>
      <c r="T146" s="11"/>
      <c r="U146" s="11"/>
      <c r="V146" s="11"/>
      <c r="W146" s="11"/>
      <c r="X146" s="11"/>
      <c r="Y146" s="11"/>
    </row>
  </sheetData>
  <mergeCells count="36">
    <mergeCell ref="C124:D124"/>
    <mergeCell ref="E124:F124"/>
    <mergeCell ref="G124:H124"/>
    <mergeCell ref="I124:J124"/>
    <mergeCell ref="C90:D90"/>
    <mergeCell ref="E90:F90"/>
    <mergeCell ref="G90:H90"/>
    <mergeCell ref="I90:J90"/>
    <mergeCell ref="C107:D107"/>
    <mergeCell ref="E107:F107"/>
    <mergeCell ref="G107:H107"/>
    <mergeCell ref="I107:J107"/>
    <mergeCell ref="C56:D56"/>
    <mergeCell ref="E56:F56"/>
    <mergeCell ref="G56:H56"/>
    <mergeCell ref="I56:J56"/>
    <mergeCell ref="C73:D73"/>
    <mergeCell ref="E73:F73"/>
    <mergeCell ref="G73:H73"/>
    <mergeCell ref="I73:J73"/>
    <mergeCell ref="C22:D22"/>
    <mergeCell ref="E22:F22"/>
    <mergeCell ref="G22:H22"/>
    <mergeCell ref="I22:J22"/>
    <mergeCell ref="C39:D39"/>
    <mergeCell ref="E39:F39"/>
    <mergeCell ref="G39:H39"/>
    <mergeCell ref="I39:J39"/>
    <mergeCell ref="G2:H2"/>
    <mergeCell ref="C4:J4"/>
    <mergeCell ref="M4:P4"/>
    <mergeCell ref="T4:W4"/>
    <mergeCell ref="C5:D5"/>
    <mergeCell ref="E5:F5"/>
    <mergeCell ref="G5:H5"/>
    <mergeCell ref="I5:J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kombájn</vt:lpstr>
      <vt:lpstr>feldolgozás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2024-07-19T09:08:50Z</dcterms:created>
  <dcterms:modified xsi:type="dcterms:W3CDTF">2025-11-06T08:40:19Z</dcterms:modified>
</cp:coreProperties>
</file>