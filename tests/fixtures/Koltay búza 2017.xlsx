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Owncloud\Personal\AI-ATK\projects\DATA IMPORT MODUL\"/>
    </mc:Choice>
  </mc:AlternateContent>
  <xr:revisionPtr revIDLastSave="0" documentId="13_ncr:1_{0441703F-9008-4B3F-8BBC-0F515605AEFE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feldolgoz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40" i="1" l="1"/>
  <c r="Y140" i="1" s="1"/>
  <c r="Q140" i="1"/>
  <c r="P140" i="1"/>
  <c r="W140" i="1" s="1"/>
  <c r="O140" i="1"/>
  <c r="R139" i="1"/>
  <c r="Y139" i="1" s="1"/>
  <c r="Q139" i="1"/>
  <c r="P139" i="1"/>
  <c r="W139" i="1" s="1"/>
  <c r="O139" i="1"/>
  <c r="R138" i="1"/>
  <c r="Q138" i="1"/>
  <c r="P138" i="1"/>
  <c r="W138" i="1" s="1"/>
  <c r="O138" i="1"/>
  <c r="R137" i="1"/>
  <c r="Y137" i="1" s="1"/>
  <c r="Q137" i="1"/>
  <c r="P137" i="1"/>
  <c r="W137" i="1" s="1"/>
  <c r="O137" i="1"/>
  <c r="R136" i="1"/>
  <c r="Q136" i="1"/>
  <c r="P136" i="1"/>
  <c r="W136" i="1" s="1"/>
  <c r="O136" i="1"/>
  <c r="R135" i="1"/>
  <c r="Y135" i="1" s="1"/>
  <c r="Q135" i="1"/>
  <c r="P135" i="1"/>
  <c r="W135" i="1" s="1"/>
  <c r="O135" i="1"/>
  <c r="R134" i="1"/>
  <c r="Q134" i="1"/>
  <c r="P134" i="1"/>
  <c r="W134" i="1" s="1"/>
  <c r="O134" i="1"/>
  <c r="R133" i="1"/>
  <c r="Y133" i="1" s="1"/>
  <c r="Q133" i="1"/>
  <c r="P133" i="1"/>
  <c r="W133" i="1" s="1"/>
  <c r="O133" i="1"/>
  <c r="R132" i="1"/>
  <c r="Y132" i="1" s="1"/>
  <c r="Q132" i="1"/>
  <c r="P132" i="1"/>
  <c r="W132" i="1" s="1"/>
  <c r="O132" i="1"/>
  <c r="R131" i="1"/>
  <c r="Y131" i="1" s="1"/>
  <c r="Q131" i="1"/>
  <c r="P131" i="1"/>
  <c r="W131" i="1" s="1"/>
  <c r="O131" i="1"/>
  <c r="R130" i="1"/>
  <c r="Q130" i="1"/>
  <c r="P130" i="1"/>
  <c r="W130" i="1" s="1"/>
  <c r="O130" i="1"/>
  <c r="R129" i="1"/>
  <c r="Y129" i="1" s="1"/>
  <c r="Q129" i="1"/>
  <c r="P129" i="1"/>
  <c r="W129" i="1" s="1"/>
  <c r="O129" i="1"/>
  <c r="R128" i="1"/>
  <c r="Q128" i="1"/>
  <c r="P128" i="1"/>
  <c r="W128" i="1" s="1"/>
  <c r="O128" i="1"/>
  <c r="R127" i="1"/>
  <c r="Y127" i="1" s="1"/>
  <c r="Q127" i="1"/>
  <c r="P127" i="1"/>
  <c r="W127" i="1" s="1"/>
  <c r="O127" i="1"/>
  <c r="R126" i="1"/>
  <c r="Q126" i="1"/>
  <c r="P126" i="1"/>
  <c r="W126" i="1" s="1"/>
  <c r="O126" i="1"/>
  <c r="R123" i="1"/>
  <c r="Y123" i="1" s="1"/>
  <c r="Q123" i="1"/>
  <c r="P123" i="1"/>
  <c r="W123" i="1" s="1"/>
  <c r="O123" i="1"/>
  <c r="R122" i="1"/>
  <c r="Y122" i="1" s="1"/>
  <c r="Q122" i="1"/>
  <c r="P122" i="1"/>
  <c r="W122" i="1" s="1"/>
  <c r="O122" i="1"/>
  <c r="R121" i="1"/>
  <c r="Y121" i="1" s="1"/>
  <c r="Q121" i="1"/>
  <c r="P121" i="1"/>
  <c r="W121" i="1" s="1"/>
  <c r="O121" i="1"/>
  <c r="R120" i="1"/>
  <c r="Y120" i="1" s="1"/>
  <c r="Q120" i="1"/>
  <c r="P120" i="1"/>
  <c r="W120" i="1" s="1"/>
  <c r="O120" i="1"/>
  <c r="R119" i="1"/>
  <c r="Y119" i="1" s="1"/>
  <c r="Q119" i="1"/>
  <c r="P119" i="1"/>
  <c r="W119" i="1" s="1"/>
  <c r="O119" i="1"/>
  <c r="R118" i="1"/>
  <c r="Y118" i="1" s="1"/>
  <c r="Q118" i="1"/>
  <c r="P118" i="1"/>
  <c r="W118" i="1" s="1"/>
  <c r="O118" i="1"/>
  <c r="R117" i="1"/>
  <c r="Y117" i="1" s="1"/>
  <c r="Q117" i="1"/>
  <c r="P117" i="1"/>
  <c r="W117" i="1" s="1"/>
  <c r="O117" i="1"/>
  <c r="R116" i="1"/>
  <c r="Y116" i="1" s="1"/>
  <c r="Q116" i="1"/>
  <c r="P116" i="1"/>
  <c r="W116" i="1" s="1"/>
  <c r="O116" i="1"/>
  <c r="R115" i="1"/>
  <c r="Y115" i="1" s="1"/>
  <c r="Q115" i="1"/>
  <c r="P115" i="1"/>
  <c r="W115" i="1" s="1"/>
  <c r="O115" i="1"/>
  <c r="R114" i="1"/>
  <c r="Y114" i="1" s="1"/>
  <c r="Q114" i="1"/>
  <c r="P114" i="1"/>
  <c r="W114" i="1" s="1"/>
  <c r="O114" i="1"/>
  <c r="R113" i="1"/>
  <c r="Y113" i="1" s="1"/>
  <c r="Q113" i="1"/>
  <c r="P113" i="1"/>
  <c r="W113" i="1" s="1"/>
  <c r="O113" i="1"/>
  <c r="R112" i="1"/>
  <c r="Y112" i="1" s="1"/>
  <c r="Q112" i="1"/>
  <c r="P112" i="1"/>
  <c r="W112" i="1" s="1"/>
  <c r="O112" i="1"/>
  <c r="R111" i="1"/>
  <c r="Y111" i="1" s="1"/>
  <c r="Q111" i="1"/>
  <c r="S111" i="1" s="1"/>
  <c r="P111" i="1"/>
  <c r="W111" i="1" s="1"/>
  <c r="O111" i="1"/>
  <c r="R110" i="1"/>
  <c r="Y110" i="1" s="1"/>
  <c r="Q110" i="1"/>
  <c r="P110" i="1"/>
  <c r="W110" i="1" s="1"/>
  <c r="O110" i="1"/>
  <c r="R109" i="1"/>
  <c r="Y109" i="1" s="1"/>
  <c r="Q109" i="1"/>
  <c r="P109" i="1"/>
  <c r="W109" i="1" s="1"/>
  <c r="O109" i="1"/>
  <c r="R106" i="1"/>
  <c r="Y106" i="1" s="1"/>
  <c r="Q106" i="1"/>
  <c r="P106" i="1"/>
  <c r="W106" i="1" s="1"/>
  <c r="O106" i="1"/>
  <c r="R105" i="1"/>
  <c r="Y105" i="1" s="1"/>
  <c r="Q105" i="1"/>
  <c r="P105" i="1"/>
  <c r="O105" i="1"/>
  <c r="R104" i="1"/>
  <c r="Y104" i="1" s="1"/>
  <c r="Q104" i="1"/>
  <c r="P104" i="1"/>
  <c r="W104" i="1" s="1"/>
  <c r="O104" i="1"/>
  <c r="R103" i="1"/>
  <c r="Y103" i="1" s="1"/>
  <c r="Q103" i="1"/>
  <c r="P103" i="1"/>
  <c r="W103" i="1" s="1"/>
  <c r="O103" i="1"/>
  <c r="R102" i="1"/>
  <c r="Y102" i="1" s="1"/>
  <c r="Q102" i="1"/>
  <c r="P102" i="1"/>
  <c r="W102" i="1" s="1"/>
  <c r="O102" i="1"/>
  <c r="R101" i="1"/>
  <c r="Y101" i="1" s="1"/>
  <c r="Q101" i="1"/>
  <c r="P101" i="1"/>
  <c r="W101" i="1" s="1"/>
  <c r="O101" i="1"/>
  <c r="R100" i="1"/>
  <c r="Y100" i="1" s="1"/>
  <c r="Q100" i="1"/>
  <c r="P100" i="1"/>
  <c r="W100" i="1" s="1"/>
  <c r="O100" i="1"/>
  <c r="R99" i="1"/>
  <c r="Y99" i="1" s="1"/>
  <c r="Q99" i="1"/>
  <c r="P99" i="1"/>
  <c r="O99" i="1"/>
  <c r="R98" i="1"/>
  <c r="Y98" i="1" s="1"/>
  <c r="Q98" i="1"/>
  <c r="P98" i="1"/>
  <c r="W98" i="1" s="1"/>
  <c r="O98" i="1"/>
  <c r="R97" i="1"/>
  <c r="Y97" i="1" s="1"/>
  <c r="Q97" i="1"/>
  <c r="P97" i="1"/>
  <c r="O97" i="1"/>
  <c r="R96" i="1"/>
  <c r="Y96" i="1" s="1"/>
  <c r="Q96" i="1"/>
  <c r="P96" i="1"/>
  <c r="W96" i="1" s="1"/>
  <c r="O96" i="1"/>
  <c r="R95" i="1"/>
  <c r="Y95" i="1" s="1"/>
  <c r="Q95" i="1"/>
  <c r="P95" i="1"/>
  <c r="W95" i="1" s="1"/>
  <c r="O95" i="1"/>
  <c r="R94" i="1"/>
  <c r="Y94" i="1" s="1"/>
  <c r="Q94" i="1"/>
  <c r="P94" i="1"/>
  <c r="W94" i="1" s="1"/>
  <c r="O94" i="1"/>
  <c r="R93" i="1"/>
  <c r="Y93" i="1" s="1"/>
  <c r="Q93" i="1"/>
  <c r="P93" i="1"/>
  <c r="W93" i="1" s="1"/>
  <c r="O93" i="1"/>
  <c r="R92" i="1"/>
  <c r="Y92" i="1" s="1"/>
  <c r="Q92" i="1"/>
  <c r="P92" i="1"/>
  <c r="W92" i="1" s="1"/>
  <c r="O92" i="1"/>
  <c r="R89" i="1"/>
  <c r="Y89" i="1" s="1"/>
  <c r="Q89" i="1"/>
  <c r="P89" i="1"/>
  <c r="W89" i="1" s="1"/>
  <c r="O89" i="1"/>
  <c r="R88" i="1"/>
  <c r="Y88" i="1" s="1"/>
  <c r="Q88" i="1"/>
  <c r="P88" i="1"/>
  <c r="W88" i="1" s="1"/>
  <c r="O88" i="1"/>
  <c r="R87" i="1"/>
  <c r="Y87" i="1" s="1"/>
  <c r="Q87" i="1"/>
  <c r="P87" i="1"/>
  <c r="W87" i="1" s="1"/>
  <c r="O87" i="1"/>
  <c r="R86" i="1"/>
  <c r="Y86" i="1" s="1"/>
  <c r="Q86" i="1"/>
  <c r="P86" i="1"/>
  <c r="W86" i="1" s="1"/>
  <c r="O86" i="1"/>
  <c r="R85" i="1"/>
  <c r="Y85" i="1" s="1"/>
  <c r="Q85" i="1"/>
  <c r="S85" i="1" s="1"/>
  <c r="P85" i="1"/>
  <c r="W85" i="1" s="1"/>
  <c r="O85" i="1"/>
  <c r="R84" i="1"/>
  <c r="Y84" i="1" s="1"/>
  <c r="Q84" i="1"/>
  <c r="P84" i="1"/>
  <c r="W84" i="1" s="1"/>
  <c r="O84" i="1"/>
  <c r="R83" i="1"/>
  <c r="Y83" i="1" s="1"/>
  <c r="Q83" i="1"/>
  <c r="P83" i="1"/>
  <c r="W83" i="1" s="1"/>
  <c r="O83" i="1"/>
  <c r="R82" i="1"/>
  <c r="Y82" i="1" s="1"/>
  <c r="Q82" i="1"/>
  <c r="P82" i="1"/>
  <c r="W82" i="1" s="1"/>
  <c r="O82" i="1"/>
  <c r="R81" i="1"/>
  <c r="Y81" i="1" s="1"/>
  <c r="Q81" i="1"/>
  <c r="P81" i="1"/>
  <c r="W81" i="1" s="1"/>
  <c r="O81" i="1"/>
  <c r="R80" i="1"/>
  <c r="Y80" i="1" s="1"/>
  <c r="Q80" i="1"/>
  <c r="P80" i="1"/>
  <c r="W80" i="1" s="1"/>
  <c r="O80" i="1"/>
  <c r="R79" i="1"/>
  <c r="Y79" i="1" s="1"/>
  <c r="Q79" i="1"/>
  <c r="S79" i="1" s="1"/>
  <c r="P79" i="1"/>
  <c r="W79" i="1" s="1"/>
  <c r="O79" i="1"/>
  <c r="R78" i="1"/>
  <c r="Y78" i="1" s="1"/>
  <c r="Q78" i="1"/>
  <c r="P78" i="1"/>
  <c r="W78" i="1" s="1"/>
  <c r="O78" i="1"/>
  <c r="R77" i="1"/>
  <c r="Y77" i="1" s="1"/>
  <c r="Q77" i="1"/>
  <c r="P77" i="1"/>
  <c r="W77" i="1" s="1"/>
  <c r="O77" i="1"/>
  <c r="R76" i="1"/>
  <c r="Y76" i="1" s="1"/>
  <c r="Q76" i="1"/>
  <c r="P76" i="1"/>
  <c r="W76" i="1" s="1"/>
  <c r="O76" i="1"/>
  <c r="R75" i="1"/>
  <c r="Y75" i="1" s="1"/>
  <c r="Q75" i="1"/>
  <c r="P75" i="1"/>
  <c r="W75" i="1" s="1"/>
  <c r="O75" i="1"/>
  <c r="R72" i="1"/>
  <c r="Y72" i="1" s="1"/>
  <c r="Q72" i="1"/>
  <c r="P72" i="1"/>
  <c r="W72" i="1" s="1"/>
  <c r="O72" i="1"/>
  <c r="R71" i="1"/>
  <c r="Y71" i="1" s="1"/>
  <c r="Q71" i="1"/>
  <c r="P71" i="1"/>
  <c r="O71" i="1"/>
  <c r="R70" i="1"/>
  <c r="Y70" i="1" s="1"/>
  <c r="Q70" i="1"/>
  <c r="P70" i="1"/>
  <c r="W70" i="1" s="1"/>
  <c r="O70" i="1"/>
  <c r="S70" i="1" s="1"/>
  <c r="R69" i="1"/>
  <c r="Y69" i="1" s="1"/>
  <c r="Q69" i="1"/>
  <c r="P69" i="1"/>
  <c r="O69" i="1"/>
  <c r="R68" i="1"/>
  <c r="Y68" i="1" s="1"/>
  <c r="Q68" i="1"/>
  <c r="P68" i="1"/>
  <c r="W68" i="1" s="1"/>
  <c r="O68" i="1"/>
  <c r="R67" i="1"/>
  <c r="Y67" i="1" s="1"/>
  <c r="Q67" i="1"/>
  <c r="P67" i="1"/>
  <c r="W67" i="1" s="1"/>
  <c r="O67" i="1"/>
  <c r="R66" i="1"/>
  <c r="Y66" i="1" s="1"/>
  <c r="Q66" i="1"/>
  <c r="P66" i="1"/>
  <c r="W66" i="1" s="1"/>
  <c r="O66" i="1"/>
  <c r="R65" i="1"/>
  <c r="Y65" i="1" s="1"/>
  <c r="Q65" i="1"/>
  <c r="P65" i="1"/>
  <c r="O65" i="1"/>
  <c r="R64" i="1"/>
  <c r="Y64" i="1" s="1"/>
  <c r="Q64" i="1"/>
  <c r="P64" i="1"/>
  <c r="W64" i="1" s="1"/>
  <c r="O64" i="1"/>
  <c r="R63" i="1"/>
  <c r="Y63" i="1" s="1"/>
  <c r="Q63" i="1"/>
  <c r="P63" i="1"/>
  <c r="O63" i="1"/>
  <c r="R62" i="1"/>
  <c r="Y62" i="1" s="1"/>
  <c r="Q62" i="1"/>
  <c r="P62" i="1"/>
  <c r="W62" i="1" s="1"/>
  <c r="O62" i="1"/>
  <c r="R61" i="1"/>
  <c r="Y61" i="1" s="1"/>
  <c r="Q61" i="1"/>
  <c r="P61" i="1"/>
  <c r="O61" i="1"/>
  <c r="R60" i="1"/>
  <c r="Y60" i="1" s="1"/>
  <c r="Q60" i="1"/>
  <c r="P60" i="1"/>
  <c r="W60" i="1" s="1"/>
  <c r="O60" i="1"/>
  <c r="R59" i="1"/>
  <c r="Y59" i="1" s="1"/>
  <c r="Q59" i="1"/>
  <c r="P59" i="1"/>
  <c r="W59" i="1" s="1"/>
  <c r="O59" i="1"/>
  <c r="R58" i="1"/>
  <c r="Y58" i="1" s="1"/>
  <c r="Q58" i="1"/>
  <c r="P58" i="1"/>
  <c r="W58" i="1" s="1"/>
  <c r="O58" i="1"/>
  <c r="R55" i="1"/>
  <c r="Y55" i="1" s="1"/>
  <c r="Q55" i="1"/>
  <c r="P55" i="1"/>
  <c r="W55" i="1" s="1"/>
  <c r="O55" i="1"/>
  <c r="R54" i="1"/>
  <c r="Q54" i="1"/>
  <c r="P54" i="1"/>
  <c r="W54" i="1" s="1"/>
  <c r="O54" i="1"/>
  <c r="R53" i="1"/>
  <c r="Y53" i="1" s="1"/>
  <c r="Q53" i="1"/>
  <c r="P53" i="1"/>
  <c r="O53" i="1"/>
  <c r="R52" i="1"/>
  <c r="Q52" i="1"/>
  <c r="P52" i="1"/>
  <c r="W52" i="1" s="1"/>
  <c r="O52" i="1"/>
  <c r="R51" i="1"/>
  <c r="Y51" i="1" s="1"/>
  <c r="Q51" i="1"/>
  <c r="P51" i="1"/>
  <c r="W51" i="1" s="1"/>
  <c r="O51" i="1"/>
  <c r="R50" i="1"/>
  <c r="Y50" i="1" s="1"/>
  <c r="Q50" i="1"/>
  <c r="P50" i="1"/>
  <c r="W50" i="1" s="1"/>
  <c r="O50" i="1"/>
  <c r="R49" i="1"/>
  <c r="Y49" i="1" s="1"/>
  <c r="Q49" i="1"/>
  <c r="P49" i="1"/>
  <c r="W49" i="1" s="1"/>
  <c r="O49" i="1"/>
  <c r="R48" i="1"/>
  <c r="Y48" i="1" s="1"/>
  <c r="Q48" i="1"/>
  <c r="P48" i="1"/>
  <c r="W48" i="1" s="1"/>
  <c r="O48" i="1"/>
  <c r="R47" i="1"/>
  <c r="Y47" i="1" s="1"/>
  <c r="Q47" i="1"/>
  <c r="P47" i="1"/>
  <c r="W47" i="1" s="1"/>
  <c r="O47" i="1"/>
  <c r="R46" i="1"/>
  <c r="Q46" i="1"/>
  <c r="P46" i="1"/>
  <c r="W46" i="1" s="1"/>
  <c r="O46" i="1"/>
  <c r="R45" i="1"/>
  <c r="Y45" i="1" s="1"/>
  <c r="Q45" i="1"/>
  <c r="P45" i="1"/>
  <c r="O45" i="1"/>
  <c r="R44" i="1"/>
  <c r="Q44" i="1"/>
  <c r="P44" i="1"/>
  <c r="W44" i="1" s="1"/>
  <c r="O44" i="1"/>
  <c r="R43" i="1"/>
  <c r="Y43" i="1" s="1"/>
  <c r="Q43" i="1"/>
  <c r="P43" i="1"/>
  <c r="W43" i="1" s="1"/>
  <c r="O43" i="1"/>
  <c r="R42" i="1"/>
  <c r="Y42" i="1" s="1"/>
  <c r="Q42" i="1"/>
  <c r="P42" i="1"/>
  <c r="W42" i="1" s="1"/>
  <c r="O42" i="1"/>
  <c r="R41" i="1"/>
  <c r="Y41" i="1" s="1"/>
  <c r="Q41" i="1"/>
  <c r="P41" i="1"/>
  <c r="W41" i="1" s="1"/>
  <c r="O41" i="1"/>
  <c r="R38" i="1"/>
  <c r="Y38" i="1" s="1"/>
  <c r="Q38" i="1"/>
  <c r="P38" i="1"/>
  <c r="W38" i="1" s="1"/>
  <c r="O38" i="1"/>
  <c r="R37" i="1"/>
  <c r="Q37" i="1"/>
  <c r="P37" i="1"/>
  <c r="W37" i="1" s="1"/>
  <c r="O37" i="1"/>
  <c r="R36" i="1"/>
  <c r="Y36" i="1" s="1"/>
  <c r="Q36" i="1"/>
  <c r="P36" i="1"/>
  <c r="W36" i="1" s="1"/>
  <c r="O36" i="1"/>
  <c r="R35" i="1"/>
  <c r="Y35" i="1" s="1"/>
  <c r="Q35" i="1"/>
  <c r="P35" i="1"/>
  <c r="W35" i="1" s="1"/>
  <c r="O35" i="1"/>
  <c r="R34" i="1"/>
  <c r="Y34" i="1" s="1"/>
  <c r="Q34" i="1"/>
  <c r="P34" i="1"/>
  <c r="W34" i="1" s="1"/>
  <c r="O34" i="1"/>
  <c r="R33" i="1"/>
  <c r="Q33" i="1"/>
  <c r="P33" i="1"/>
  <c r="W33" i="1" s="1"/>
  <c r="O33" i="1"/>
  <c r="R32" i="1"/>
  <c r="Y32" i="1" s="1"/>
  <c r="Q32" i="1"/>
  <c r="P32" i="1"/>
  <c r="W32" i="1" s="1"/>
  <c r="O32" i="1"/>
  <c r="R31" i="1"/>
  <c r="Y31" i="1" s="1"/>
  <c r="Q31" i="1"/>
  <c r="P31" i="1"/>
  <c r="W31" i="1" s="1"/>
  <c r="O31" i="1"/>
  <c r="R30" i="1"/>
  <c r="Y30" i="1" s="1"/>
  <c r="Q30" i="1"/>
  <c r="P30" i="1"/>
  <c r="W30" i="1" s="1"/>
  <c r="O30" i="1"/>
  <c r="R29" i="1"/>
  <c r="Q29" i="1"/>
  <c r="P29" i="1"/>
  <c r="W29" i="1" s="1"/>
  <c r="O29" i="1"/>
  <c r="R28" i="1"/>
  <c r="Y28" i="1" s="1"/>
  <c r="Q28" i="1"/>
  <c r="P28" i="1"/>
  <c r="W28" i="1" s="1"/>
  <c r="O28" i="1"/>
  <c r="R27" i="1"/>
  <c r="Y27" i="1" s="1"/>
  <c r="Q27" i="1"/>
  <c r="P27" i="1"/>
  <c r="W27" i="1" s="1"/>
  <c r="O27" i="1"/>
  <c r="R26" i="1"/>
  <c r="Y26" i="1" s="1"/>
  <c r="Q26" i="1"/>
  <c r="P26" i="1"/>
  <c r="W26" i="1" s="1"/>
  <c r="O26" i="1"/>
  <c r="R25" i="1"/>
  <c r="Q25" i="1"/>
  <c r="P25" i="1"/>
  <c r="W25" i="1" s="1"/>
  <c r="O25" i="1"/>
  <c r="R24" i="1"/>
  <c r="Y24" i="1" s="1"/>
  <c r="Q24" i="1"/>
  <c r="S24" i="1" s="1"/>
  <c r="P24" i="1"/>
  <c r="W24" i="1" s="1"/>
  <c r="O24" i="1"/>
  <c r="P7" i="1"/>
  <c r="W7" i="1" s="1"/>
  <c r="Q7" i="1"/>
  <c r="R7" i="1"/>
  <c r="Y7" i="1" s="1"/>
  <c r="P8" i="1"/>
  <c r="Q8" i="1"/>
  <c r="R8" i="1"/>
  <c r="Y8" i="1" s="1"/>
  <c r="P9" i="1"/>
  <c r="W9" i="1" s="1"/>
  <c r="Q9" i="1"/>
  <c r="R9" i="1"/>
  <c r="Y9" i="1" s="1"/>
  <c r="P10" i="1"/>
  <c r="Q10" i="1"/>
  <c r="R10" i="1"/>
  <c r="Y10" i="1" s="1"/>
  <c r="P11" i="1"/>
  <c r="Q11" i="1"/>
  <c r="R11" i="1"/>
  <c r="Y11" i="1" s="1"/>
  <c r="P12" i="1"/>
  <c r="W12" i="1" s="1"/>
  <c r="Q12" i="1"/>
  <c r="R12" i="1"/>
  <c r="Y12" i="1" s="1"/>
  <c r="P13" i="1"/>
  <c r="W13" i="1" s="1"/>
  <c r="Q13" i="1"/>
  <c r="R13" i="1"/>
  <c r="P14" i="1"/>
  <c r="W14" i="1" s="1"/>
  <c r="Q14" i="1"/>
  <c r="R14" i="1"/>
  <c r="Y14" i="1" s="1"/>
  <c r="P15" i="1"/>
  <c r="W15" i="1" s="1"/>
  <c r="Q15" i="1"/>
  <c r="R15" i="1"/>
  <c r="Y15" i="1" s="1"/>
  <c r="P16" i="1"/>
  <c r="W16" i="1" s="1"/>
  <c r="Q16" i="1"/>
  <c r="R16" i="1"/>
  <c r="Y16" i="1" s="1"/>
  <c r="P17" i="1"/>
  <c r="W17" i="1" s="1"/>
  <c r="Q17" i="1"/>
  <c r="R17" i="1"/>
  <c r="Y17" i="1" s="1"/>
  <c r="P18" i="1"/>
  <c r="Q18" i="1"/>
  <c r="R18" i="1"/>
  <c r="Y18" i="1" s="1"/>
  <c r="P19" i="1"/>
  <c r="Q19" i="1"/>
  <c r="R19" i="1"/>
  <c r="Y19" i="1" s="1"/>
  <c r="P20" i="1"/>
  <c r="W20" i="1" s="1"/>
  <c r="Q20" i="1"/>
  <c r="R20" i="1"/>
  <c r="P21" i="1"/>
  <c r="Q21" i="1"/>
  <c r="R21" i="1"/>
  <c r="Y21" i="1" s="1"/>
  <c r="O8" i="1"/>
  <c r="O9" i="1"/>
  <c r="O10" i="1"/>
  <c r="O11" i="1"/>
  <c r="O12" i="1"/>
  <c r="S12" i="1" s="1"/>
  <c r="O13" i="1"/>
  <c r="O14" i="1"/>
  <c r="O15" i="1"/>
  <c r="O16" i="1"/>
  <c r="O17" i="1"/>
  <c r="O18" i="1"/>
  <c r="O19" i="1"/>
  <c r="O20" i="1"/>
  <c r="O21" i="1"/>
  <c r="O7" i="1"/>
  <c r="S140" i="1"/>
  <c r="S133" i="1"/>
  <c r="S132" i="1"/>
  <c r="S123" i="1"/>
  <c r="S103" i="1"/>
  <c r="S89" i="1"/>
  <c r="S59" i="1"/>
  <c r="S51" i="1"/>
  <c r="S50" i="1"/>
  <c r="S42" i="1"/>
  <c r="S36" i="1"/>
  <c r="S31" i="1"/>
  <c r="V36" i="1" l="1"/>
  <c r="X36" i="1"/>
  <c r="X136" i="1"/>
  <c r="V136" i="1"/>
  <c r="S54" i="1"/>
  <c r="Y54" i="1"/>
  <c r="S86" i="1"/>
  <c r="V86" i="1"/>
  <c r="X86" i="1"/>
  <c r="S94" i="1"/>
  <c r="X94" i="1"/>
  <c r="V94" i="1"/>
  <c r="S137" i="1"/>
  <c r="X137" i="1"/>
  <c r="V137" i="1"/>
  <c r="Z137" i="1" s="1"/>
  <c r="X69" i="1"/>
  <c r="V69" i="1"/>
  <c r="Z69" i="1" s="1"/>
  <c r="X95" i="1"/>
  <c r="V95" i="1"/>
  <c r="S106" i="1"/>
  <c r="X106" i="1"/>
  <c r="V106" i="1"/>
  <c r="Z106" i="1" s="1"/>
  <c r="X119" i="1"/>
  <c r="V119" i="1"/>
  <c r="X132" i="1"/>
  <c r="V132" i="1"/>
  <c r="S17" i="1"/>
  <c r="X17" i="1"/>
  <c r="V17" i="1"/>
  <c r="S37" i="1"/>
  <c r="Y37" i="1"/>
  <c r="S45" i="1"/>
  <c r="W45" i="1"/>
  <c r="S69" i="1"/>
  <c r="W69" i="1"/>
  <c r="S126" i="1"/>
  <c r="Y126" i="1"/>
  <c r="X43" i="1"/>
  <c r="V43" i="1"/>
  <c r="S104" i="1"/>
  <c r="V104" i="1"/>
  <c r="Z104" i="1" s="1"/>
  <c r="X104" i="1"/>
  <c r="S49" i="1"/>
  <c r="X49" i="1"/>
  <c r="Z49" i="1" s="1"/>
  <c r="V49" i="1"/>
  <c r="X31" i="1"/>
  <c r="V31" i="1"/>
  <c r="S131" i="1"/>
  <c r="X131" i="1"/>
  <c r="V131" i="1"/>
  <c r="S19" i="1"/>
  <c r="W19" i="1"/>
  <c r="Z19" i="1" s="1"/>
  <c r="S68" i="1"/>
  <c r="X126" i="1"/>
  <c r="V126" i="1"/>
  <c r="S63" i="1"/>
  <c r="W63" i="1"/>
  <c r="X32" i="1"/>
  <c r="V32" i="1"/>
  <c r="X82" i="1"/>
  <c r="V82" i="1"/>
  <c r="Z82" i="1" s="1"/>
  <c r="X51" i="1"/>
  <c r="V51" i="1"/>
  <c r="Z51" i="1" s="1"/>
  <c r="X77" i="1"/>
  <c r="V77" i="1"/>
  <c r="S114" i="1"/>
  <c r="X114" i="1"/>
  <c r="V114" i="1"/>
  <c r="S127" i="1"/>
  <c r="X127" i="1"/>
  <c r="V127" i="1"/>
  <c r="V138" i="1"/>
  <c r="Z138" i="1" s="1"/>
  <c r="X138" i="1"/>
  <c r="X99" i="1"/>
  <c r="V99" i="1"/>
  <c r="S43" i="1"/>
  <c r="S105" i="1"/>
  <c r="W105" i="1"/>
  <c r="S76" i="1"/>
  <c r="X76" i="1"/>
  <c r="V76" i="1"/>
  <c r="Z76" i="1" s="1"/>
  <c r="X18" i="1"/>
  <c r="V18" i="1"/>
  <c r="Z18" i="1" s="1"/>
  <c r="S87" i="1"/>
  <c r="S27" i="1"/>
  <c r="X27" i="1"/>
  <c r="V27" i="1"/>
  <c r="Z27" i="1" s="1"/>
  <c r="S64" i="1"/>
  <c r="X64" i="1"/>
  <c r="V64" i="1"/>
  <c r="X101" i="1"/>
  <c r="V101" i="1"/>
  <c r="S77" i="1"/>
  <c r="X109" i="1"/>
  <c r="V109" i="1"/>
  <c r="S16" i="1"/>
  <c r="S95" i="1"/>
  <c r="X28" i="1"/>
  <c r="V28" i="1"/>
  <c r="X52" i="1"/>
  <c r="V52" i="1"/>
  <c r="S78" i="1"/>
  <c r="V78" i="1"/>
  <c r="Z78" i="1" s="1"/>
  <c r="X78" i="1"/>
  <c r="S102" i="1"/>
  <c r="X102" i="1"/>
  <c r="V102" i="1"/>
  <c r="Z102" i="1" s="1"/>
  <c r="S110" i="1"/>
  <c r="X110" i="1"/>
  <c r="V110" i="1"/>
  <c r="V67" i="1"/>
  <c r="X67" i="1"/>
  <c r="S99" i="1"/>
  <c r="W99" i="1"/>
  <c r="S75" i="1"/>
  <c r="S26" i="1"/>
  <c r="X26" i="1"/>
  <c r="V26" i="1"/>
  <c r="S11" i="1"/>
  <c r="W11" i="1"/>
  <c r="S18" i="1"/>
  <c r="W18" i="1"/>
  <c r="X45" i="1"/>
  <c r="V45" i="1"/>
  <c r="S58" i="1"/>
  <c r="X58" i="1"/>
  <c r="V58" i="1"/>
  <c r="S38" i="1"/>
  <c r="X38" i="1"/>
  <c r="V38" i="1"/>
  <c r="S82" i="1"/>
  <c r="X33" i="1"/>
  <c r="V33" i="1"/>
  <c r="X83" i="1"/>
  <c r="V83" i="1"/>
  <c r="X133" i="1"/>
  <c r="V133" i="1"/>
  <c r="V115" i="1"/>
  <c r="Z115" i="1" s="1"/>
  <c r="X115" i="1"/>
  <c r="X97" i="1"/>
  <c r="V97" i="1"/>
  <c r="V130" i="1"/>
  <c r="X130" i="1"/>
  <c r="V75" i="1"/>
  <c r="Z75" i="1" s="1"/>
  <c r="X75" i="1"/>
  <c r="S55" i="1"/>
  <c r="X55" i="1"/>
  <c r="V55" i="1"/>
  <c r="Z55" i="1" s="1"/>
  <c r="S25" i="1"/>
  <c r="Y25" i="1"/>
  <c r="S15" i="1"/>
  <c r="X15" i="1"/>
  <c r="V15" i="1"/>
  <c r="Z15" i="1" s="1"/>
  <c r="V13" i="1"/>
  <c r="Z13" i="1" s="1"/>
  <c r="X13" i="1"/>
  <c r="S83" i="1"/>
  <c r="S139" i="1"/>
  <c r="V139" i="1"/>
  <c r="Z139" i="1" s="1"/>
  <c r="X139" i="1"/>
  <c r="S33" i="1"/>
  <c r="Y33" i="1"/>
  <c r="S65" i="1"/>
  <c r="W65" i="1"/>
  <c r="V10" i="1"/>
  <c r="X10" i="1"/>
  <c r="S34" i="1"/>
  <c r="X34" i="1"/>
  <c r="V34" i="1"/>
  <c r="S47" i="1"/>
  <c r="X47" i="1"/>
  <c r="V47" i="1"/>
  <c r="X71" i="1"/>
  <c r="V71" i="1"/>
  <c r="S9" i="1"/>
  <c r="V9" i="1"/>
  <c r="Z9" i="1" s="1"/>
  <c r="X9" i="1"/>
  <c r="S7" i="1"/>
  <c r="X29" i="1"/>
  <c r="V29" i="1"/>
  <c r="X53" i="1"/>
  <c r="V53" i="1"/>
  <c r="S60" i="1"/>
  <c r="S66" i="1"/>
  <c r="X66" i="1"/>
  <c r="V66" i="1"/>
  <c r="X79" i="1"/>
  <c r="V79" i="1"/>
  <c r="Z79" i="1" s="1"/>
  <c r="S92" i="1"/>
  <c r="X92" i="1"/>
  <c r="V92" i="1"/>
  <c r="X103" i="1"/>
  <c r="V103" i="1"/>
  <c r="Z103" i="1" s="1"/>
  <c r="S116" i="1"/>
  <c r="X116" i="1"/>
  <c r="V116" i="1"/>
  <c r="Z116" i="1" s="1"/>
  <c r="S129" i="1"/>
  <c r="X129" i="1"/>
  <c r="V129" i="1"/>
  <c r="X140" i="1"/>
  <c r="V140" i="1"/>
  <c r="S20" i="1"/>
  <c r="Y20" i="1"/>
  <c r="S30" i="1"/>
  <c r="V30" i="1"/>
  <c r="X30" i="1"/>
  <c r="V54" i="1"/>
  <c r="X54" i="1"/>
  <c r="X93" i="1"/>
  <c r="V93" i="1"/>
  <c r="X25" i="1"/>
  <c r="V25" i="1"/>
  <c r="Z25" i="1" s="1"/>
  <c r="S112" i="1"/>
  <c r="X112" i="1"/>
  <c r="V112" i="1"/>
  <c r="X81" i="1"/>
  <c r="V81" i="1"/>
  <c r="X37" i="1"/>
  <c r="V37" i="1"/>
  <c r="Z37" i="1" s="1"/>
  <c r="S113" i="1"/>
  <c r="X113" i="1"/>
  <c r="V113" i="1"/>
  <c r="X19" i="1"/>
  <c r="V19" i="1"/>
  <c r="S44" i="1"/>
  <c r="Y44" i="1"/>
  <c r="S10" i="1"/>
  <c r="W10" i="1"/>
  <c r="X14" i="1"/>
  <c r="V14" i="1"/>
  <c r="Z14" i="1" s="1"/>
  <c r="S96" i="1"/>
  <c r="X96" i="1"/>
  <c r="V96" i="1"/>
  <c r="S138" i="1"/>
  <c r="Y138" i="1"/>
  <c r="X65" i="1"/>
  <c r="V65" i="1"/>
  <c r="Z65" i="1" s="1"/>
  <c r="X128" i="1"/>
  <c r="V128" i="1"/>
  <c r="V11" i="1"/>
  <c r="Z11" i="1" s="1"/>
  <c r="X11" i="1"/>
  <c r="S46" i="1"/>
  <c r="Y46" i="1"/>
  <c r="S8" i="1"/>
  <c r="W8" i="1"/>
  <c r="X60" i="1"/>
  <c r="V60" i="1"/>
  <c r="S84" i="1"/>
  <c r="X84" i="1"/>
  <c r="V84" i="1"/>
  <c r="S109" i="1"/>
  <c r="V8" i="1"/>
  <c r="X8" i="1"/>
  <c r="X42" i="1"/>
  <c r="V42" i="1"/>
  <c r="S115" i="1"/>
  <c r="S53" i="1"/>
  <c r="W53" i="1"/>
  <c r="S134" i="1"/>
  <c r="Y134" i="1"/>
  <c r="S80" i="1"/>
  <c r="V80" i="1"/>
  <c r="Z80" i="1" s="1"/>
  <c r="X80" i="1"/>
  <c r="V117" i="1"/>
  <c r="Z117" i="1" s="1"/>
  <c r="X117" i="1"/>
  <c r="X62" i="1"/>
  <c r="V62" i="1"/>
  <c r="S130" i="1"/>
  <c r="Y130" i="1"/>
  <c r="X7" i="1"/>
  <c r="V7" i="1"/>
  <c r="X68" i="1"/>
  <c r="V68" i="1"/>
  <c r="X105" i="1"/>
  <c r="V105" i="1"/>
  <c r="Z105" i="1" s="1"/>
  <c r="X21" i="1"/>
  <c r="V21" i="1"/>
  <c r="Z21" i="1" s="1"/>
  <c r="S136" i="1"/>
  <c r="Y136" i="1"/>
  <c r="X63" i="1"/>
  <c r="V63" i="1"/>
  <c r="X87" i="1"/>
  <c r="V87" i="1"/>
  <c r="S62" i="1"/>
  <c r="X16" i="1"/>
  <c r="V16" i="1"/>
  <c r="S32" i="1"/>
  <c r="S88" i="1"/>
  <c r="X88" i="1"/>
  <c r="V88" i="1"/>
  <c r="X46" i="1"/>
  <c r="V46" i="1"/>
  <c r="X70" i="1"/>
  <c r="V70" i="1"/>
  <c r="S93" i="1"/>
  <c r="X12" i="1"/>
  <c r="V12" i="1"/>
  <c r="V89" i="1"/>
  <c r="X89" i="1"/>
  <c r="S121" i="1"/>
  <c r="X121" i="1"/>
  <c r="V121" i="1"/>
  <c r="S71" i="1"/>
  <c r="W71" i="1"/>
  <c r="S97" i="1"/>
  <c r="W97" i="1"/>
  <c r="S128" i="1"/>
  <c r="Y128" i="1"/>
  <c r="S14" i="1"/>
  <c r="S117" i="1"/>
  <c r="V24" i="1"/>
  <c r="X24" i="1"/>
  <c r="Z24" i="1" s="1"/>
  <c r="S35" i="1"/>
  <c r="V35" i="1"/>
  <c r="X35" i="1"/>
  <c r="S48" i="1"/>
  <c r="V48" i="1"/>
  <c r="X48" i="1"/>
  <c r="V61" i="1"/>
  <c r="X61" i="1"/>
  <c r="S72" i="1"/>
  <c r="V72" i="1"/>
  <c r="Z72" i="1" s="1"/>
  <c r="X72" i="1"/>
  <c r="V85" i="1"/>
  <c r="X85" i="1"/>
  <c r="S98" i="1"/>
  <c r="V98" i="1"/>
  <c r="X98" i="1"/>
  <c r="V111" i="1"/>
  <c r="X111" i="1"/>
  <c r="S122" i="1"/>
  <c r="V122" i="1"/>
  <c r="X122" i="1"/>
  <c r="S135" i="1"/>
  <c r="V135" i="1"/>
  <c r="X135" i="1"/>
  <c r="X123" i="1"/>
  <c r="V123" i="1"/>
  <c r="X44" i="1"/>
  <c r="V44" i="1"/>
  <c r="S118" i="1"/>
  <c r="X118" i="1"/>
  <c r="V118" i="1"/>
  <c r="X20" i="1"/>
  <c r="V20" i="1"/>
  <c r="X50" i="1"/>
  <c r="V50" i="1"/>
  <c r="S100" i="1"/>
  <c r="X100" i="1"/>
  <c r="V100" i="1"/>
  <c r="S67" i="1"/>
  <c r="S81" i="1"/>
  <c r="X59" i="1"/>
  <c r="V59" i="1"/>
  <c r="S120" i="1"/>
  <c r="X120" i="1"/>
  <c r="V120" i="1"/>
  <c r="S41" i="1"/>
  <c r="X41" i="1"/>
  <c r="V41" i="1"/>
  <c r="S101" i="1"/>
  <c r="X134" i="1"/>
  <c r="V134" i="1"/>
  <c r="S52" i="1"/>
  <c r="Y52" i="1"/>
  <c r="S28" i="1"/>
  <c r="S119" i="1"/>
  <c r="S21" i="1"/>
  <c r="W21" i="1"/>
  <c r="S13" i="1"/>
  <c r="Y13" i="1"/>
  <c r="S29" i="1"/>
  <c r="Y29" i="1"/>
  <c r="S61" i="1"/>
  <c r="W61" i="1"/>
  <c r="Z83" i="1"/>
  <c r="Z70" i="1"/>
  <c r="Z68" i="1"/>
  <c r="Z52" i="1"/>
  <c r="Z47" i="1"/>
  <c r="Z44" i="1"/>
  <c r="Z41" i="1"/>
  <c r="Z34" i="1"/>
  <c r="Z31" i="1"/>
  <c r="Z84" i="1"/>
  <c r="Z66" i="1"/>
  <c r="Z64" i="1"/>
  <c r="Z53" i="1"/>
  <c r="Z48" i="1"/>
  <c r="Z45" i="1"/>
  <c r="Z43" i="1"/>
  <c r="Z38" i="1"/>
  <c r="Z35" i="1"/>
  <c r="Z33" i="1"/>
  <c r="Z17" i="1"/>
  <c r="Z10" i="1"/>
  <c r="Z7" i="1"/>
  <c r="Z126" i="1" l="1"/>
  <c r="Z127" i="1"/>
  <c r="Z128" i="1"/>
  <c r="Z129" i="1"/>
  <c r="Z130" i="1"/>
  <c r="Z131" i="1"/>
  <c r="Z132" i="1"/>
  <c r="Z133" i="1"/>
  <c r="Z134" i="1"/>
  <c r="Z135" i="1"/>
  <c r="Z136" i="1"/>
  <c r="Z140" i="1"/>
  <c r="Z109" i="1"/>
  <c r="Z110" i="1"/>
  <c r="Z111" i="1"/>
  <c r="Z112" i="1"/>
  <c r="Z113" i="1"/>
  <c r="Z114" i="1"/>
  <c r="Z118" i="1"/>
  <c r="Z119" i="1"/>
  <c r="Z120" i="1"/>
  <c r="Z121" i="1"/>
  <c r="Z122" i="1"/>
  <c r="Z123" i="1"/>
  <c r="Z92" i="1"/>
  <c r="Z93" i="1"/>
  <c r="Z94" i="1"/>
  <c r="Z95" i="1"/>
  <c r="Z96" i="1"/>
  <c r="Z97" i="1"/>
  <c r="Z98" i="1"/>
  <c r="Z99" i="1"/>
  <c r="Z100" i="1"/>
  <c r="Z101" i="1"/>
  <c r="Z85" i="1"/>
  <c r="Z86" i="1"/>
  <c r="Z87" i="1"/>
  <c r="Z88" i="1"/>
  <c r="Z89" i="1"/>
  <c r="Z58" i="1"/>
  <c r="Z59" i="1"/>
  <c r="Z61" i="1"/>
  <c r="Z62" i="1"/>
  <c r="Z63" i="1"/>
  <c r="Z28" i="1"/>
  <c r="Z29" i="1"/>
  <c r="Z30" i="1"/>
  <c r="Z8" i="1"/>
  <c r="Z12" i="1"/>
  <c r="Z16" i="1"/>
  <c r="Z20" i="1"/>
  <c r="Z26" i="1"/>
  <c r="Z32" i="1"/>
  <c r="Z36" i="1"/>
  <c r="Z42" i="1"/>
  <c r="Z46" i="1"/>
  <c r="Z50" i="1"/>
  <c r="Z54" i="1"/>
  <c r="Z60" i="1"/>
  <c r="Z67" i="1"/>
  <c r="Z71" i="1"/>
  <c r="Z77" i="1"/>
  <c r="Z81" i="1"/>
</calcChain>
</file>

<file path=xl/sharedStrings.xml><?xml version="1.0" encoding="utf-8"?>
<sst xmlns="http://schemas.openxmlformats.org/spreadsheetml/2006/main" count="218" uniqueCount="31">
  <si>
    <t xml:space="preserve">Nettó parcella: </t>
  </si>
  <si>
    <r>
      <t>1,44 m * 9 m = 12,96 m</t>
    </r>
    <r>
      <rPr>
        <vertAlign val="superscript"/>
        <sz val="10"/>
        <rFont val="Georgia"/>
        <family val="1"/>
        <charset val="238"/>
      </rPr>
      <t>2</t>
    </r>
  </si>
  <si>
    <t>Termés kg/parc.</t>
  </si>
  <si>
    <t>Termés t/ha</t>
  </si>
  <si>
    <t>I.</t>
  </si>
  <si>
    <t>II.</t>
  </si>
  <si>
    <t>III.</t>
  </si>
  <si>
    <t>IV.</t>
  </si>
  <si>
    <t>Átlag</t>
  </si>
  <si>
    <t>A trágyaszint</t>
  </si>
  <si>
    <t>N0</t>
  </si>
  <si>
    <t>B trágyaszint</t>
  </si>
  <si>
    <t>N40</t>
  </si>
  <si>
    <t>C trágyaszint</t>
  </si>
  <si>
    <t>N80</t>
  </si>
  <si>
    <t>D trágyaszint</t>
  </si>
  <si>
    <t>N120</t>
  </si>
  <si>
    <t>E trágyaszint</t>
  </si>
  <si>
    <t>N160</t>
  </si>
  <si>
    <t>F trágyaszint</t>
  </si>
  <si>
    <t>N200</t>
  </si>
  <si>
    <t>G trágyaszint</t>
  </si>
  <si>
    <t>N240</t>
  </si>
  <si>
    <t>H trágyaszint</t>
  </si>
  <si>
    <t>N280</t>
  </si>
  <si>
    <t>Koltay búza 2017.</t>
  </si>
  <si>
    <t>Betakarítás:</t>
  </si>
  <si>
    <t>2017. 07. 05-06.</t>
  </si>
  <si>
    <t>Víz %</t>
  </si>
  <si>
    <t xml:space="preserve"> </t>
  </si>
  <si>
    <t>sza%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</si>
</sst>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b/>
      <sz val="10"/>
      <name val="Georgia"/>
      <family val="1"/>
      <charset val="238"/>
    </font>
    <font>
      <vertAlign val="superscript"/>
      <sz val="10"/>
      <name val="Georgia"/>
      <family val="1"/>
      <charset val="238"/>
    </font>
    <font>
      <b/>
      <u/>
      <sz val="10"/>
      <name val="Georgia"/>
      <family val="1"/>
      <charset val="238"/>
    </font>
    <font>
      <b/>
      <sz val="16"/>
      <name val="Georgia"/>
      <family val="1"/>
      <charset val="238"/>
    </font>
    <font>
      <sz val="10"/>
      <name val="Georgia"/>
      <family val="1"/>
      <charset val="238"/>
    </font>
    <font>
      <sz val="14"/>
      <name val="Georgia"/>
      <family val="1"/>
      <charset val="238"/>
    </font>
    <font>
      <sz val="11"/>
      <color theme="1"/>
      <name val="Georgia"/>
      <family val="1"/>
      <charset val="238"/>
    </font>
    <font>
      <sz val="10"/>
      <color indexed="10"/>
      <name val="Georgia"/>
      <family val="1"/>
      <charset val="238"/>
    </font>
    <font>
      <sz val="8"/>
      <name val="Georgia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Fill="1" applyBorder="1" applyAlignment="1">
      <alignment horizontal="left"/>
    </xf>
    <xf numFmtId="0" fontId="7" fillId="0" borderId="0" xfId="0" applyFont="1"/>
    <xf numFmtId="14" fontId="5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4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14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0"/>
  <sheetViews>
    <sheetView tabSelected="1" zoomScaleNormal="100" workbookViewId="0">
      <selection activeCell="A3" sqref="A3"/>
    </sheetView>
  </sheetViews>
  <sheetFormatPr defaultRowHeight="14.5" x14ac:dyDescent="0.35"/>
  <cols>
    <col min="1" max="1" width="16.26953125" customWidth="1"/>
    <col min="7" max="7" width="17.54296875" customWidth="1"/>
    <col min="13" max="13" width="17.7265625" customWidth="1"/>
    <col min="20" max="20" width="17.7265625" customWidth="1"/>
  </cols>
  <sheetData>
    <row r="1" spans="1:28" ht="20" x14ac:dyDescent="0.4">
      <c r="A1" s="5" t="s">
        <v>25</v>
      </c>
      <c r="B1" s="6"/>
      <c r="C1" s="7"/>
      <c r="D1" s="4" t="s">
        <v>26</v>
      </c>
      <c r="E1" s="7"/>
      <c r="F1" s="22" t="s">
        <v>27</v>
      </c>
      <c r="G1" s="22"/>
      <c r="H1" s="19"/>
      <c r="I1" s="19"/>
      <c r="J1" s="19"/>
      <c r="K1" s="19"/>
      <c r="L1" s="19"/>
      <c r="M1" s="8"/>
      <c r="N1" s="20"/>
      <c r="O1" s="7"/>
      <c r="P1" s="7"/>
      <c r="Q1" s="7"/>
      <c r="R1" s="7"/>
      <c r="S1" s="9"/>
      <c r="T1" s="8"/>
      <c r="U1" s="6"/>
      <c r="V1" s="7"/>
      <c r="W1" s="7"/>
      <c r="X1" s="7"/>
      <c r="Y1" s="7"/>
      <c r="Z1" s="9"/>
      <c r="AA1" s="9"/>
      <c r="AB1" s="9"/>
    </row>
    <row r="2" spans="1:28" ht="15.5" x14ac:dyDescent="0.35">
      <c r="A2" s="10"/>
      <c r="B2" s="6"/>
      <c r="C2" s="7"/>
      <c r="D2" s="1" t="s">
        <v>0</v>
      </c>
      <c r="E2" s="7"/>
      <c r="F2" s="7" t="s">
        <v>1</v>
      </c>
      <c r="G2" s="7"/>
      <c r="H2" s="7"/>
      <c r="I2" s="7"/>
      <c r="J2" s="7"/>
      <c r="K2" s="7"/>
      <c r="L2" s="7"/>
      <c r="M2" s="10"/>
      <c r="N2" s="20"/>
      <c r="O2" s="7"/>
      <c r="P2" s="7"/>
      <c r="Q2" s="7"/>
      <c r="R2" s="7"/>
      <c r="S2" s="9"/>
      <c r="T2" s="10"/>
      <c r="U2" s="6"/>
      <c r="V2" s="7"/>
      <c r="W2" s="7"/>
      <c r="X2" s="7"/>
      <c r="Y2" s="7"/>
      <c r="Z2" s="9"/>
      <c r="AA2" s="9"/>
      <c r="AB2" s="9"/>
    </row>
    <row r="3" spans="1:28" x14ac:dyDescent="0.35">
      <c r="A3" s="10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10"/>
      <c r="N3" s="20"/>
      <c r="O3" s="7"/>
      <c r="P3" s="7"/>
      <c r="Q3" s="7"/>
      <c r="R3" s="7"/>
      <c r="S3" s="9"/>
      <c r="T3" s="10"/>
      <c r="U3" s="6"/>
      <c r="V3" s="7"/>
      <c r="W3" s="7"/>
      <c r="X3" s="7"/>
      <c r="Y3" s="7"/>
      <c r="Z3" s="9"/>
      <c r="AA3" s="9"/>
      <c r="AB3" s="9"/>
    </row>
    <row r="4" spans="1:28" x14ac:dyDescent="0.35">
      <c r="A4" s="6"/>
      <c r="B4" s="6"/>
      <c r="C4" s="23" t="s">
        <v>2</v>
      </c>
      <c r="D4" s="24"/>
      <c r="E4" s="24"/>
      <c r="F4" s="24"/>
      <c r="G4" s="11"/>
      <c r="H4" s="11"/>
      <c r="I4" s="26" t="s">
        <v>28</v>
      </c>
      <c r="J4" s="26"/>
      <c r="K4" s="26"/>
      <c r="L4" s="26"/>
      <c r="M4" s="20"/>
      <c r="N4" s="20"/>
      <c r="O4" s="25" t="s">
        <v>30</v>
      </c>
      <c r="P4" s="26"/>
      <c r="Q4" s="26"/>
      <c r="R4" s="26"/>
      <c r="S4" s="9"/>
      <c r="T4" s="6"/>
      <c r="U4" s="6"/>
      <c r="V4" s="25" t="s">
        <v>3</v>
      </c>
      <c r="W4" s="26"/>
      <c r="X4" s="26"/>
      <c r="Y4" s="26"/>
      <c r="Z4" s="9"/>
      <c r="AA4" s="9"/>
      <c r="AB4" s="9"/>
    </row>
    <row r="5" spans="1:28" x14ac:dyDescent="0.3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20"/>
      <c r="N5" s="20"/>
      <c r="O5" s="7"/>
      <c r="P5" s="7"/>
      <c r="Q5" s="7"/>
      <c r="R5" s="7"/>
      <c r="S5" s="9"/>
      <c r="T5" s="6"/>
      <c r="U5" s="6"/>
      <c r="V5" s="7"/>
      <c r="W5" s="7"/>
      <c r="X5" s="7"/>
      <c r="Y5" s="7"/>
      <c r="Z5" s="9"/>
      <c r="AA5" s="9"/>
      <c r="AB5" s="9"/>
    </row>
    <row r="6" spans="1:28" x14ac:dyDescent="0.35">
      <c r="A6" s="6" t="s">
        <v>29</v>
      </c>
      <c r="B6" s="6"/>
      <c r="C6" s="6" t="s">
        <v>4</v>
      </c>
      <c r="D6" s="6" t="s">
        <v>5</v>
      </c>
      <c r="E6" s="6" t="s">
        <v>6</v>
      </c>
      <c r="F6" s="6" t="s">
        <v>7</v>
      </c>
      <c r="G6" s="6"/>
      <c r="H6" s="6"/>
      <c r="I6" s="6" t="s">
        <v>4</v>
      </c>
      <c r="J6" s="6" t="s">
        <v>5</v>
      </c>
      <c r="K6" s="6" t="s">
        <v>6</v>
      </c>
      <c r="L6" s="6" t="s">
        <v>7</v>
      </c>
      <c r="M6" s="20"/>
      <c r="N6" s="20"/>
      <c r="O6" s="20" t="s">
        <v>4</v>
      </c>
      <c r="P6" s="20" t="s">
        <v>5</v>
      </c>
      <c r="Q6" s="20" t="s">
        <v>6</v>
      </c>
      <c r="R6" s="20" t="s">
        <v>7</v>
      </c>
      <c r="S6" s="12" t="s">
        <v>8</v>
      </c>
      <c r="T6" s="6"/>
      <c r="U6" s="6"/>
      <c r="V6" s="6" t="s">
        <v>4</v>
      </c>
      <c r="W6" s="6" t="s">
        <v>5</v>
      </c>
      <c r="X6" s="6" t="s">
        <v>6</v>
      </c>
      <c r="Y6" s="6" t="s">
        <v>7</v>
      </c>
      <c r="Z6" s="12" t="s">
        <v>8</v>
      </c>
      <c r="AA6" s="9"/>
      <c r="AB6" s="9"/>
    </row>
    <row r="7" spans="1:28" x14ac:dyDescent="0.35">
      <c r="A7" s="6"/>
      <c r="B7" s="6">
        <v>1</v>
      </c>
      <c r="C7" s="13">
        <v>3.7</v>
      </c>
      <c r="D7" s="13">
        <v>3.61</v>
      </c>
      <c r="E7" s="13">
        <v>5.76</v>
      </c>
      <c r="F7" s="13">
        <v>3.68</v>
      </c>
      <c r="G7" s="6"/>
      <c r="H7" s="6">
        <v>1</v>
      </c>
      <c r="I7" s="13">
        <v>12.51</v>
      </c>
      <c r="J7" s="13">
        <v>13.02</v>
      </c>
      <c r="K7" s="13">
        <v>12.07</v>
      </c>
      <c r="L7" s="13">
        <v>13.49</v>
      </c>
      <c r="M7" s="20"/>
      <c r="N7" s="20">
        <v>1</v>
      </c>
      <c r="O7" s="13">
        <f>+(100-I7)</f>
        <v>87.49</v>
      </c>
      <c r="P7" s="13">
        <f t="shared" ref="P7:R21" si="0">+(100-J7)</f>
        <v>86.98</v>
      </c>
      <c r="Q7" s="13">
        <f t="shared" si="0"/>
        <v>87.93</v>
      </c>
      <c r="R7" s="13">
        <f t="shared" si="0"/>
        <v>86.51</v>
      </c>
      <c r="S7" s="15">
        <f>AVERAGE(O7:R7)</f>
        <v>87.227499999999992</v>
      </c>
      <c r="T7" s="6"/>
      <c r="U7" s="6">
        <v>1</v>
      </c>
      <c r="V7" s="13">
        <f>+(((C7*O7)/86)/12.96)*10</f>
        <v>2.9044017370083264</v>
      </c>
      <c r="W7" s="13">
        <f>+(((C7*P7)/86)/12.96)*10</f>
        <v>2.8874712891185759</v>
      </c>
      <c r="X7" s="13">
        <f>+(((C7*O7)/86)/12.96)*10</f>
        <v>2.9044017370083264</v>
      </c>
      <c r="Y7" s="13">
        <f>+(((C7*R7)/86)/12.96)*10</f>
        <v>2.8718687194946884</v>
      </c>
      <c r="Z7" s="15">
        <f>AVERAGE(V7:Y7)</f>
        <v>2.8920358706574794</v>
      </c>
      <c r="AA7" s="9"/>
      <c r="AB7" s="9"/>
    </row>
    <row r="8" spans="1:28" x14ac:dyDescent="0.35">
      <c r="A8" s="6"/>
      <c r="B8" s="6">
        <v>2</v>
      </c>
      <c r="C8" s="13">
        <v>4.87</v>
      </c>
      <c r="D8" s="13">
        <v>4</v>
      </c>
      <c r="E8" s="13">
        <v>4.7699999999999996</v>
      </c>
      <c r="F8" s="13">
        <v>3.8</v>
      </c>
      <c r="G8" s="6"/>
      <c r="H8" s="6">
        <v>2</v>
      </c>
      <c r="I8" s="13">
        <v>11.3</v>
      </c>
      <c r="J8" s="13">
        <v>10.09</v>
      </c>
      <c r="K8" s="13">
        <v>12.53</v>
      </c>
      <c r="L8" s="13">
        <v>11.5</v>
      </c>
      <c r="M8" s="20"/>
      <c r="N8" s="20">
        <v>2</v>
      </c>
      <c r="O8" s="13">
        <f t="shared" ref="O8:O21" si="1">+(100-I8)</f>
        <v>88.7</v>
      </c>
      <c r="P8" s="13">
        <f t="shared" si="0"/>
        <v>89.91</v>
      </c>
      <c r="Q8" s="13">
        <f t="shared" si="0"/>
        <v>87.47</v>
      </c>
      <c r="R8" s="13">
        <f t="shared" si="0"/>
        <v>88.5</v>
      </c>
      <c r="S8" s="15">
        <f t="shared" ref="S8:S21" si="2">AVERAGE(O8:R8)</f>
        <v>88.64500000000001</v>
      </c>
      <c r="T8" s="6"/>
      <c r="U8" s="6">
        <v>2</v>
      </c>
      <c r="V8" s="13">
        <f t="shared" ref="V8:V21" si="3">+(((C8*O8)/86)/12.96)*10</f>
        <v>3.8756908555842666</v>
      </c>
      <c r="W8" s="13">
        <f t="shared" ref="W8:W21" si="4">+(((C8*P8)/86)/12.96)*10</f>
        <v>3.9285610465116272</v>
      </c>
      <c r="X8" s="13">
        <f t="shared" ref="X8:X21" si="5">+(((C8*O8)/86)/12.96)*10</f>
        <v>3.8756908555842666</v>
      </c>
      <c r="Y8" s="13">
        <f t="shared" ref="Y8:Y21" si="6">+(((C8*R8)/86)/12.96)*10</f>
        <v>3.8669519810508186</v>
      </c>
      <c r="Z8" s="15">
        <f t="shared" ref="Z8:Z21" si="7">AVERAGE(V8:Y8)</f>
        <v>3.8867236846827451</v>
      </c>
      <c r="AA8" s="9"/>
      <c r="AB8" s="9"/>
    </row>
    <row r="9" spans="1:28" x14ac:dyDescent="0.35">
      <c r="A9" s="6"/>
      <c r="B9" s="6">
        <v>3</v>
      </c>
      <c r="C9" s="13">
        <v>5.71</v>
      </c>
      <c r="D9" s="13">
        <v>4.5</v>
      </c>
      <c r="E9" s="13">
        <v>5.33</v>
      </c>
      <c r="F9" s="13">
        <v>4.2300000000000004</v>
      </c>
      <c r="G9" s="6"/>
      <c r="H9" s="6">
        <v>3</v>
      </c>
      <c r="I9" s="13">
        <v>11.25</v>
      </c>
      <c r="J9" s="13">
        <v>11.33</v>
      </c>
      <c r="K9" s="13">
        <v>12.64</v>
      </c>
      <c r="L9" s="13">
        <v>12.12</v>
      </c>
      <c r="M9" s="20"/>
      <c r="N9" s="20">
        <v>3</v>
      </c>
      <c r="O9" s="13">
        <f t="shared" si="1"/>
        <v>88.75</v>
      </c>
      <c r="P9" s="13">
        <f t="shared" si="0"/>
        <v>88.67</v>
      </c>
      <c r="Q9" s="13">
        <f t="shared" si="0"/>
        <v>87.36</v>
      </c>
      <c r="R9" s="13">
        <f t="shared" si="0"/>
        <v>87.88</v>
      </c>
      <c r="S9" s="15">
        <f t="shared" si="2"/>
        <v>88.165000000000006</v>
      </c>
      <c r="T9" s="6"/>
      <c r="U9" s="6">
        <v>3</v>
      </c>
      <c r="V9" s="13">
        <f t="shared" si="3"/>
        <v>4.546749389893769</v>
      </c>
      <c r="W9" s="13">
        <f t="shared" si="4"/>
        <v>4.542650911570485</v>
      </c>
      <c r="X9" s="13">
        <f t="shared" si="5"/>
        <v>4.546749389893769</v>
      </c>
      <c r="Y9" s="13">
        <f t="shared" si="6"/>
        <v>4.5021784381280501</v>
      </c>
      <c r="Z9" s="15">
        <f t="shared" si="7"/>
        <v>4.5345820323715182</v>
      </c>
      <c r="AA9" s="9"/>
      <c r="AB9" s="9"/>
    </row>
    <row r="10" spans="1:28" x14ac:dyDescent="0.35">
      <c r="A10" s="6"/>
      <c r="B10" s="6">
        <v>4</v>
      </c>
      <c r="C10" s="13">
        <v>6.4</v>
      </c>
      <c r="D10" s="13">
        <v>5.74</v>
      </c>
      <c r="E10" s="13">
        <v>7.55</v>
      </c>
      <c r="F10" s="13">
        <v>4.88</v>
      </c>
      <c r="G10" s="6"/>
      <c r="H10" s="6">
        <v>4</v>
      </c>
      <c r="I10" s="13">
        <v>12.48</v>
      </c>
      <c r="J10" s="13">
        <v>12.18</v>
      </c>
      <c r="K10" s="13">
        <v>12.89</v>
      </c>
      <c r="L10" s="13">
        <v>11.77</v>
      </c>
      <c r="M10" s="20"/>
      <c r="N10" s="20">
        <v>4</v>
      </c>
      <c r="O10" s="13">
        <f t="shared" si="1"/>
        <v>87.52</v>
      </c>
      <c r="P10" s="13">
        <f t="shared" si="0"/>
        <v>87.82</v>
      </c>
      <c r="Q10" s="13">
        <f t="shared" si="0"/>
        <v>87.11</v>
      </c>
      <c r="R10" s="13">
        <f t="shared" si="0"/>
        <v>88.23</v>
      </c>
      <c r="S10" s="15">
        <f t="shared" si="2"/>
        <v>87.67</v>
      </c>
      <c r="T10" s="6"/>
      <c r="U10" s="6">
        <v>4</v>
      </c>
      <c r="V10" s="13">
        <f t="shared" si="3"/>
        <v>5.0255526844674137</v>
      </c>
      <c r="W10" s="13">
        <f t="shared" si="4"/>
        <v>5.0427792133218485</v>
      </c>
      <c r="X10" s="13">
        <f t="shared" si="5"/>
        <v>5.0255526844674137</v>
      </c>
      <c r="Y10" s="13">
        <f t="shared" si="6"/>
        <v>5.0663221360895783</v>
      </c>
      <c r="Z10" s="15">
        <f t="shared" si="7"/>
        <v>5.0400516795865631</v>
      </c>
      <c r="AA10" s="9"/>
      <c r="AB10" s="9"/>
    </row>
    <row r="11" spans="1:28" x14ac:dyDescent="0.35">
      <c r="A11" s="6"/>
      <c r="B11" s="6">
        <v>5</v>
      </c>
      <c r="C11" s="13">
        <v>6.65</v>
      </c>
      <c r="D11" s="13">
        <v>5.25</v>
      </c>
      <c r="E11" s="13">
        <v>5.23</v>
      </c>
      <c r="F11" s="13">
        <v>4.6500000000000004</v>
      </c>
      <c r="G11" s="6"/>
      <c r="H11" s="6">
        <v>5</v>
      </c>
      <c r="I11" s="13">
        <v>11.89</v>
      </c>
      <c r="J11" s="13">
        <v>11.42</v>
      </c>
      <c r="K11" s="13">
        <v>13.67</v>
      </c>
      <c r="L11" s="13">
        <v>12.41</v>
      </c>
      <c r="M11" s="20"/>
      <c r="N11" s="20">
        <v>5</v>
      </c>
      <c r="O11" s="13">
        <f t="shared" si="1"/>
        <v>88.11</v>
      </c>
      <c r="P11" s="13">
        <f t="shared" si="0"/>
        <v>88.58</v>
      </c>
      <c r="Q11" s="13">
        <f t="shared" si="0"/>
        <v>86.33</v>
      </c>
      <c r="R11" s="13">
        <f t="shared" si="0"/>
        <v>87.59</v>
      </c>
      <c r="S11" s="15">
        <f t="shared" si="2"/>
        <v>87.652500000000003</v>
      </c>
      <c r="T11" s="6"/>
      <c r="U11" s="6">
        <v>5</v>
      </c>
      <c r="V11" s="13">
        <f t="shared" si="3"/>
        <v>5.2570655684754524</v>
      </c>
      <c r="W11" s="13">
        <f t="shared" si="4"/>
        <v>5.2851080246913575</v>
      </c>
      <c r="X11" s="13">
        <f t="shared" si="5"/>
        <v>5.2570655684754524</v>
      </c>
      <c r="Y11" s="13">
        <f t="shared" si="6"/>
        <v>5.2260398722365782</v>
      </c>
      <c r="Z11" s="15">
        <f t="shared" si="7"/>
        <v>5.2563197584697097</v>
      </c>
      <c r="AA11" s="9"/>
      <c r="AB11" s="9"/>
    </row>
    <row r="12" spans="1:28" x14ac:dyDescent="0.35">
      <c r="A12" s="11" t="s">
        <v>9</v>
      </c>
      <c r="B12" s="6">
        <v>6</v>
      </c>
      <c r="C12" s="13">
        <v>6.52</v>
      </c>
      <c r="D12" s="13">
        <v>5.67</v>
      </c>
      <c r="E12" s="13">
        <v>6.74</v>
      </c>
      <c r="F12" s="13">
        <v>5.04</v>
      </c>
      <c r="G12" s="11" t="s">
        <v>9</v>
      </c>
      <c r="H12" s="6">
        <v>6</v>
      </c>
      <c r="I12" s="13">
        <v>11.59</v>
      </c>
      <c r="J12" s="13">
        <v>11.98</v>
      </c>
      <c r="K12" s="13">
        <v>12.42</v>
      </c>
      <c r="L12" s="13">
        <v>12.91</v>
      </c>
      <c r="M12" s="11" t="s">
        <v>9</v>
      </c>
      <c r="N12" s="20">
        <v>6</v>
      </c>
      <c r="O12" s="13">
        <f t="shared" si="1"/>
        <v>88.41</v>
      </c>
      <c r="P12" s="13">
        <f t="shared" si="0"/>
        <v>88.02</v>
      </c>
      <c r="Q12" s="13">
        <f t="shared" si="0"/>
        <v>87.58</v>
      </c>
      <c r="R12" s="13">
        <f t="shared" si="0"/>
        <v>87.09</v>
      </c>
      <c r="S12" s="15">
        <f t="shared" si="2"/>
        <v>87.775000000000006</v>
      </c>
      <c r="T12" s="11" t="s">
        <v>9</v>
      </c>
      <c r="U12" s="6">
        <v>6</v>
      </c>
      <c r="V12" s="13">
        <f t="shared" si="3"/>
        <v>5.1718453919035303</v>
      </c>
      <c r="W12" s="13">
        <f t="shared" si="4"/>
        <v>5.1490310077519368</v>
      </c>
      <c r="X12" s="13">
        <f t="shared" si="5"/>
        <v>5.1718453919035303</v>
      </c>
      <c r="Y12" s="13">
        <f t="shared" si="6"/>
        <v>5.0946274763135211</v>
      </c>
      <c r="Z12" s="15">
        <f t="shared" si="7"/>
        <v>5.1468373169681296</v>
      </c>
      <c r="AA12" s="9"/>
      <c r="AB12" s="9"/>
    </row>
    <row r="13" spans="1:28" x14ac:dyDescent="0.35">
      <c r="A13" s="6" t="s">
        <v>10</v>
      </c>
      <c r="B13" s="6">
        <v>7</v>
      </c>
      <c r="C13" s="13">
        <v>6.45</v>
      </c>
      <c r="D13" s="13">
        <v>5.24</v>
      </c>
      <c r="E13" s="13">
        <v>7.53</v>
      </c>
      <c r="F13" s="13">
        <v>5.13</v>
      </c>
      <c r="G13" s="6" t="s">
        <v>10</v>
      </c>
      <c r="H13" s="6">
        <v>7</v>
      </c>
      <c r="I13" s="13">
        <v>10.87</v>
      </c>
      <c r="J13" s="13">
        <v>10.39</v>
      </c>
      <c r="K13" s="13">
        <v>11.76</v>
      </c>
      <c r="L13" s="13">
        <v>11.89</v>
      </c>
      <c r="M13" s="20" t="s">
        <v>10</v>
      </c>
      <c r="N13" s="20">
        <v>7</v>
      </c>
      <c r="O13" s="13">
        <f t="shared" si="1"/>
        <v>89.13</v>
      </c>
      <c r="P13" s="13">
        <f t="shared" si="0"/>
        <v>89.61</v>
      </c>
      <c r="Q13" s="13">
        <f t="shared" si="0"/>
        <v>88.24</v>
      </c>
      <c r="R13" s="13">
        <f t="shared" si="0"/>
        <v>88.11</v>
      </c>
      <c r="S13" s="15">
        <f t="shared" si="2"/>
        <v>88.772500000000008</v>
      </c>
      <c r="T13" s="6" t="s">
        <v>10</v>
      </c>
      <c r="U13" s="6">
        <v>7</v>
      </c>
      <c r="V13" s="13">
        <f t="shared" si="3"/>
        <v>5.1579861111111116</v>
      </c>
      <c r="W13" s="13">
        <f t="shared" si="4"/>
        <v>5.1857638888888893</v>
      </c>
      <c r="X13" s="13">
        <f t="shared" si="5"/>
        <v>5.1579861111111116</v>
      </c>
      <c r="Y13" s="13">
        <f t="shared" si="6"/>
        <v>5.0989583333333321</v>
      </c>
      <c r="Z13" s="15">
        <f t="shared" si="7"/>
        <v>5.1501736111111107</v>
      </c>
      <c r="AA13" s="9"/>
      <c r="AB13" s="9"/>
    </row>
    <row r="14" spans="1:28" x14ac:dyDescent="0.35">
      <c r="A14" s="6"/>
      <c r="B14" s="6">
        <v>8</v>
      </c>
      <c r="C14" s="13">
        <v>5.45</v>
      </c>
      <c r="D14" s="13">
        <v>4.42</v>
      </c>
      <c r="E14" s="13">
        <v>5.14</v>
      </c>
      <c r="F14" s="13">
        <v>4.32</v>
      </c>
      <c r="G14" s="6"/>
      <c r="H14" s="6">
        <v>8</v>
      </c>
      <c r="I14" s="13">
        <v>11.48</v>
      </c>
      <c r="J14" s="13">
        <v>11.54</v>
      </c>
      <c r="K14" s="13">
        <v>13.01</v>
      </c>
      <c r="L14" s="13">
        <v>13.1</v>
      </c>
      <c r="M14" s="20"/>
      <c r="N14" s="20">
        <v>8</v>
      </c>
      <c r="O14" s="13">
        <f t="shared" si="1"/>
        <v>88.52</v>
      </c>
      <c r="P14" s="13">
        <f t="shared" si="0"/>
        <v>88.460000000000008</v>
      </c>
      <c r="Q14" s="13">
        <f t="shared" si="0"/>
        <v>86.99</v>
      </c>
      <c r="R14" s="13">
        <f t="shared" si="0"/>
        <v>86.9</v>
      </c>
      <c r="S14" s="15">
        <f t="shared" si="2"/>
        <v>87.717500000000001</v>
      </c>
      <c r="T14" s="6"/>
      <c r="U14" s="6">
        <v>8</v>
      </c>
      <c r="V14" s="13">
        <f t="shared" si="3"/>
        <v>4.3284704277921326</v>
      </c>
      <c r="W14" s="13">
        <f t="shared" si="4"/>
        <v>4.3255365345966119</v>
      </c>
      <c r="X14" s="13">
        <f t="shared" si="5"/>
        <v>4.3284704277921326</v>
      </c>
      <c r="Y14" s="13">
        <f t="shared" si="6"/>
        <v>4.2492553115130631</v>
      </c>
      <c r="Z14" s="15">
        <f t="shared" si="7"/>
        <v>4.3079331754234857</v>
      </c>
      <c r="AA14" s="9"/>
      <c r="AB14" s="9"/>
    </row>
    <row r="15" spans="1:28" x14ac:dyDescent="0.35">
      <c r="A15" s="6"/>
      <c r="B15" s="6">
        <v>9</v>
      </c>
      <c r="C15" s="13">
        <v>5.87</v>
      </c>
      <c r="D15" s="13">
        <v>5.03</v>
      </c>
      <c r="E15" s="13">
        <v>6.49</v>
      </c>
      <c r="F15" s="13">
        <v>4.4800000000000004</v>
      </c>
      <c r="G15" s="6"/>
      <c r="H15" s="6">
        <v>9</v>
      </c>
      <c r="I15" s="13">
        <v>12.37</v>
      </c>
      <c r="J15" s="13">
        <v>11.49</v>
      </c>
      <c r="K15" s="13">
        <v>13.25</v>
      </c>
      <c r="L15" s="13">
        <v>13.73</v>
      </c>
      <c r="M15" s="20"/>
      <c r="N15" s="20">
        <v>9</v>
      </c>
      <c r="O15" s="13">
        <f t="shared" si="1"/>
        <v>87.63</v>
      </c>
      <c r="P15" s="13">
        <f t="shared" si="0"/>
        <v>88.51</v>
      </c>
      <c r="Q15" s="13">
        <f t="shared" si="0"/>
        <v>86.75</v>
      </c>
      <c r="R15" s="13">
        <f t="shared" si="0"/>
        <v>86.27</v>
      </c>
      <c r="S15" s="15">
        <f t="shared" si="2"/>
        <v>87.289999999999992</v>
      </c>
      <c r="T15" s="6"/>
      <c r="U15" s="6">
        <v>9</v>
      </c>
      <c r="V15" s="13">
        <f t="shared" si="3"/>
        <v>4.6151674203273032</v>
      </c>
      <c r="W15" s="13">
        <f t="shared" si="4"/>
        <v>4.6615139606660927</v>
      </c>
      <c r="X15" s="13">
        <f t="shared" si="5"/>
        <v>4.6151674203273032</v>
      </c>
      <c r="Y15" s="13">
        <f t="shared" si="6"/>
        <v>4.5435409488946306</v>
      </c>
      <c r="Z15" s="15">
        <f t="shared" si="7"/>
        <v>4.6088474375538322</v>
      </c>
      <c r="AA15" s="9"/>
      <c r="AB15" s="9"/>
    </row>
    <row r="16" spans="1:28" x14ac:dyDescent="0.35">
      <c r="A16" s="6"/>
      <c r="B16" s="6">
        <v>10</v>
      </c>
      <c r="C16" s="13">
        <v>5.98</v>
      </c>
      <c r="D16" s="13">
        <v>5.45</v>
      </c>
      <c r="E16" s="13">
        <v>6.38</v>
      </c>
      <c r="F16" s="13">
        <v>4.5599999999999996</v>
      </c>
      <c r="G16" s="6"/>
      <c r="H16" s="6">
        <v>10</v>
      </c>
      <c r="I16" s="13">
        <v>10.82</v>
      </c>
      <c r="J16" s="13">
        <v>11.58</v>
      </c>
      <c r="K16" s="13">
        <v>12.58</v>
      </c>
      <c r="L16" s="13">
        <v>11.92</v>
      </c>
      <c r="M16" s="20"/>
      <c r="N16" s="20">
        <v>10</v>
      </c>
      <c r="O16" s="13">
        <f t="shared" si="1"/>
        <v>89.18</v>
      </c>
      <c r="P16" s="13">
        <f t="shared" si="0"/>
        <v>88.42</v>
      </c>
      <c r="Q16" s="13">
        <f t="shared" si="0"/>
        <v>87.42</v>
      </c>
      <c r="R16" s="13">
        <f t="shared" si="0"/>
        <v>88.08</v>
      </c>
      <c r="S16" s="15">
        <f t="shared" si="2"/>
        <v>88.275000000000006</v>
      </c>
      <c r="T16" s="6"/>
      <c r="U16" s="6">
        <v>10</v>
      </c>
      <c r="V16" s="13">
        <f t="shared" si="3"/>
        <v>4.7848155325868511</v>
      </c>
      <c r="W16" s="13">
        <f t="shared" si="4"/>
        <v>4.7440389032443298</v>
      </c>
      <c r="X16" s="13">
        <f t="shared" si="5"/>
        <v>4.7848155325868511</v>
      </c>
      <c r="Y16" s="13">
        <f t="shared" si="6"/>
        <v>4.7257967269595174</v>
      </c>
      <c r="Z16" s="15">
        <f t="shared" si="7"/>
        <v>4.7598666738443871</v>
      </c>
      <c r="AA16" s="9"/>
      <c r="AB16" s="9"/>
    </row>
    <row r="17" spans="1:28" x14ac:dyDescent="0.35">
      <c r="A17" s="6"/>
      <c r="B17" s="6">
        <v>11</v>
      </c>
      <c r="C17" s="13">
        <v>6.44</v>
      </c>
      <c r="D17" s="13">
        <v>5.28</v>
      </c>
      <c r="E17" s="13">
        <v>6.08</v>
      </c>
      <c r="F17" s="13">
        <v>4.49</v>
      </c>
      <c r="G17" s="6"/>
      <c r="H17" s="6">
        <v>11</v>
      </c>
      <c r="I17" s="13">
        <v>12.05</v>
      </c>
      <c r="J17" s="13">
        <v>10.52</v>
      </c>
      <c r="K17" s="13">
        <v>14.39</v>
      </c>
      <c r="L17" s="13">
        <v>12.45</v>
      </c>
      <c r="M17" s="20"/>
      <c r="N17" s="20">
        <v>11</v>
      </c>
      <c r="O17" s="13">
        <f t="shared" si="1"/>
        <v>87.95</v>
      </c>
      <c r="P17" s="13">
        <f t="shared" si="0"/>
        <v>89.48</v>
      </c>
      <c r="Q17" s="13">
        <f t="shared" si="0"/>
        <v>85.61</v>
      </c>
      <c r="R17" s="13">
        <f t="shared" si="0"/>
        <v>87.55</v>
      </c>
      <c r="S17" s="15">
        <f t="shared" si="2"/>
        <v>87.647500000000008</v>
      </c>
      <c r="T17" s="6"/>
      <c r="U17" s="6">
        <v>11</v>
      </c>
      <c r="V17" s="13">
        <f t="shared" si="3"/>
        <v>5.0818080677576809</v>
      </c>
      <c r="W17" s="13">
        <f t="shared" si="4"/>
        <v>5.1702124605225377</v>
      </c>
      <c r="X17" s="13">
        <f t="shared" si="5"/>
        <v>5.0818080677576809</v>
      </c>
      <c r="Y17" s="13">
        <f t="shared" si="6"/>
        <v>5.0586958082113123</v>
      </c>
      <c r="Z17" s="15">
        <f t="shared" si="7"/>
        <v>5.0981311010623029</v>
      </c>
      <c r="AA17" s="9"/>
      <c r="AB17" s="9"/>
    </row>
    <row r="18" spans="1:28" x14ac:dyDescent="0.35">
      <c r="A18" s="6"/>
      <c r="B18" s="6">
        <v>12</v>
      </c>
      <c r="C18" s="13">
        <v>5.98</v>
      </c>
      <c r="D18" s="13">
        <v>5.25</v>
      </c>
      <c r="E18" s="13">
        <v>5.24</v>
      </c>
      <c r="F18" s="13">
        <v>4.6900000000000004</v>
      </c>
      <c r="G18" s="6"/>
      <c r="H18" s="6">
        <v>12</v>
      </c>
      <c r="I18" s="13">
        <v>11.95</v>
      </c>
      <c r="J18" s="13">
        <v>12.41</v>
      </c>
      <c r="K18" s="13">
        <v>12.83</v>
      </c>
      <c r="L18" s="13">
        <v>11.77</v>
      </c>
      <c r="M18" s="20"/>
      <c r="N18" s="20">
        <v>12</v>
      </c>
      <c r="O18" s="13">
        <f t="shared" si="1"/>
        <v>88.05</v>
      </c>
      <c r="P18" s="13">
        <f t="shared" si="0"/>
        <v>87.59</v>
      </c>
      <c r="Q18" s="13">
        <f t="shared" si="0"/>
        <v>87.17</v>
      </c>
      <c r="R18" s="13">
        <f t="shared" si="0"/>
        <v>88.23</v>
      </c>
      <c r="S18" s="15">
        <f t="shared" si="2"/>
        <v>87.76</v>
      </c>
      <c r="T18" s="6"/>
      <c r="U18" s="6">
        <v>12</v>
      </c>
      <c r="V18" s="13">
        <f t="shared" si="3"/>
        <v>4.7241871231696813</v>
      </c>
      <c r="W18" s="13">
        <f t="shared" si="4"/>
        <v>4.6995065317255245</v>
      </c>
      <c r="X18" s="13">
        <f t="shared" si="5"/>
        <v>4.7241871231696813</v>
      </c>
      <c r="Y18" s="13">
        <f t="shared" si="6"/>
        <v>4.7338447459086996</v>
      </c>
      <c r="Z18" s="15">
        <f t="shared" si="7"/>
        <v>4.7204313809933964</v>
      </c>
      <c r="AA18" s="9"/>
      <c r="AB18" s="9"/>
    </row>
    <row r="19" spans="1:28" x14ac:dyDescent="0.35">
      <c r="A19" s="6"/>
      <c r="B19" s="6">
        <v>13</v>
      </c>
      <c r="C19" s="13">
        <v>5.26</v>
      </c>
      <c r="D19" s="13">
        <v>4.57</v>
      </c>
      <c r="E19" s="13">
        <v>5.5</v>
      </c>
      <c r="F19" s="13">
        <v>4.17</v>
      </c>
      <c r="G19" s="6"/>
      <c r="H19" s="6">
        <v>13</v>
      </c>
      <c r="I19" s="13">
        <v>12.63</v>
      </c>
      <c r="J19" s="13">
        <v>10.97</v>
      </c>
      <c r="K19" s="13">
        <v>12.25</v>
      </c>
      <c r="L19" s="13">
        <v>13.7</v>
      </c>
      <c r="M19" s="20"/>
      <c r="N19" s="20">
        <v>13</v>
      </c>
      <c r="O19" s="13">
        <f t="shared" si="1"/>
        <v>87.37</v>
      </c>
      <c r="P19" s="13">
        <f t="shared" si="0"/>
        <v>89.03</v>
      </c>
      <c r="Q19" s="13">
        <f t="shared" si="0"/>
        <v>87.75</v>
      </c>
      <c r="R19" s="13">
        <f t="shared" si="0"/>
        <v>86.3</v>
      </c>
      <c r="S19" s="15">
        <f t="shared" si="2"/>
        <v>87.612499999999997</v>
      </c>
      <c r="T19" s="6"/>
      <c r="U19" s="6">
        <v>13</v>
      </c>
      <c r="V19" s="13">
        <f t="shared" si="3"/>
        <v>4.1232970858455351</v>
      </c>
      <c r="W19" s="13">
        <f t="shared" si="4"/>
        <v>4.2016383146712597</v>
      </c>
      <c r="X19" s="13">
        <f t="shared" si="5"/>
        <v>4.1232970858455351</v>
      </c>
      <c r="Y19" s="13">
        <f t="shared" si="6"/>
        <v>4.0728000287108816</v>
      </c>
      <c r="Z19" s="15">
        <f t="shared" si="7"/>
        <v>4.1302581287683022</v>
      </c>
      <c r="AA19" s="9"/>
      <c r="AB19" s="9"/>
    </row>
    <row r="20" spans="1:28" x14ac:dyDescent="0.35">
      <c r="A20" s="6"/>
      <c r="B20" s="6">
        <v>14</v>
      </c>
      <c r="C20" s="13">
        <v>5.35</v>
      </c>
      <c r="D20" s="13">
        <v>4.54</v>
      </c>
      <c r="E20" s="13">
        <v>6.04</v>
      </c>
      <c r="F20" s="13">
        <v>4.6100000000000003</v>
      </c>
      <c r="G20" s="6"/>
      <c r="H20" s="6">
        <v>14</v>
      </c>
      <c r="I20" s="13">
        <v>11.16</v>
      </c>
      <c r="J20" s="13">
        <v>10.32</v>
      </c>
      <c r="K20" s="13">
        <v>13</v>
      </c>
      <c r="L20" s="13">
        <v>12.25</v>
      </c>
      <c r="M20" s="20"/>
      <c r="N20" s="20">
        <v>14</v>
      </c>
      <c r="O20" s="13">
        <f t="shared" si="1"/>
        <v>88.84</v>
      </c>
      <c r="P20" s="13">
        <f t="shared" si="0"/>
        <v>89.68</v>
      </c>
      <c r="Q20" s="13">
        <f t="shared" si="0"/>
        <v>87</v>
      </c>
      <c r="R20" s="13">
        <f t="shared" si="0"/>
        <v>87.75</v>
      </c>
      <c r="S20" s="15">
        <f t="shared" si="2"/>
        <v>88.317499999999995</v>
      </c>
      <c r="T20" s="6"/>
      <c r="U20" s="6">
        <v>14</v>
      </c>
      <c r="V20" s="13">
        <f t="shared" si="3"/>
        <v>4.2644092736146995</v>
      </c>
      <c r="W20" s="13">
        <f t="shared" si="4"/>
        <v>4.3047301177146133</v>
      </c>
      <c r="X20" s="13">
        <f t="shared" si="5"/>
        <v>4.2644092736146995</v>
      </c>
      <c r="Y20" s="13">
        <f t="shared" si="6"/>
        <v>4.2120881782945734</v>
      </c>
      <c r="Z20" s="15">
        <f t="shared" si="7"/>
        <v>4.2614092108096457</v>
      </c>
      <c r="AA20" s="9"/>
      <c r="AB20" s="9"/>
    </row>
    <row r="21" spans="1:28" x14ac:dyDescent="0.35">
      <c r="A21" s="6"/>
      <c r="B21" s="6">
        <v>15</v>
      </c>
      <c r="C21" s="13">
        <v>5.82</v>
      </c>
      <c r="D21" s="13">
        <v>4.9400000000000004</v>
      </c>
      <c r="E21" s="13">
        <v>6.2</v>
      </c>
      <c r="F21" s="13">
        <v>4.3</v>
      </c>
      <c r="G21" s="6"/>
      <c r="H21" s="6">
        <v>15</v>
      </c>
      <c r="I21" s="13">
        <v>13.43</v>
      </c>
      <c r="J21" s="13">
        <v>12.11</v>
      </c>
      <c r="K21" s="13">
        <v>13.48</v>
      </c>
      <c r="L21" s="13">
        <v>14.29</v>
      </c>
      <c r="M21" s="20"/>
      <c r="N21" s="20">
        <v>15</v>
      </c>
      <c r="O21" s="13">
        <f t="shared" si="1"/>
        <v>86.57</v>
      </c>
      <c r="P21" s="13">
        <f t="shared" si="0"/>
        <v>87.89</v>
      </c>
      <c r="Q21" s="13">
        <f t="shared" si="0"/>
        <v>86.52</v>
      </c>
      <c r="R21" s="13">
        <f t="shared" si="0"/>
        <v>85.710000000000008</v>
      </c>
      <c r="S21" s="15">
        <f t="shared" si="2"/>
        <v>86.672499999999985</v>
      </c>
      <c r="T21" s="6"/>
      <c r="U21" s="6">
        <v>15</v>
      </c>
      <c r="V21" s="13">
        <f t="shared" si="3"/>
        <v>4.5205049526270455</v>
      </c>
      <c r="W21" s="13">
        <f t="shared" si="4"/>
        <v>4.5894326012058571</v>
      </c>
      <c r="X21" s="13">
        <f t="shared" si="5"/>
        <v>4.5205049526270455</v>
      </c>
      <c r="Y21" s="13">
        <f t="shared" si="6"/>
        <v>4.4755975452196388</v>
      </c>
      <c r="Z21" s="15">
        <f t="shared" si="7"/>
        <v>4.5265100129198972</v>
      </c>
      <c r="AA21" s="9"/>
      <c r="AB21" s="9"/>
    </row>
    <row r="22" spans="1:28" x14ac:dyDescent="0.35">
      <c r="A22" s="6"/>
      <c r="B22" s="6"/>
      <c r="C22" s="7"/>
      <c r="D22" s="7"/>
      <c r="E22" s="7"/>
      <c r="F22" s="7"/>
      <c r="G22" s="6"/>
      <c r="H22" s="6"/>
      <c r="I22" s="7"/>
      <c r="J22" s="7"/>
      <c r="K22" s="7"/>
      <c r="L22" s="7"/>
      <c r="M22" s="20"/>
      <c r="N22" s="20"/>
      <c r="O22" s="7"/>
      <c r="P22" s="7"/>
      <c r="Q22" s="7"/>
      <c r="R22" s="7"/>
      <c r="S22" s="9"/>
      <c r="T22" s="6"/>
      <c r="U22" s="6"/>
      <c r="V22" s="13"/>
      <c r="W22" s="7"/>
      <c r="X22" s="7"/>
      <c r="Y22" s="7"/>
      <c r="Z22" s="9"/>
      <c r="AA22" s="9"/>
      <c r="AB22" s="9"/>
    </row>
    <row r="23" spans="1:28" x14ac:dyDescent="0.35">
      <c r="A23" s="6"/>
      <c r="B23" s="6"/>
      <c r="C23" s="6" t="s">
        <v>4</v>
      </c>
      <c r="D23" s="6" t="s">
        <v>5</v>
      </c>
      <c r="E23" s="6" t="s">
        <v>6</v>
      </c>
      <c r="F23" s="6" t="s">
        <v>7</v>
      </c>
      <c r="G23" s="6"/>
      <c r="H23" s="6"/>
      <c r="I23" s="6" t="s">
        <v>4</v>
      </c>
      <c r="J23" s="6" t="s">
        <v>5</v>
      </c>
      <c r="K23" s="6" t="s">
        <v>6</v>
      </c>
      <c r="L23" s="6" t="s">
        <v>7</v>
      </c>
      <c r="M23" s="20"/>
      <c r="N23" s="20"/>
      <c r="O23" s="20" t="s">
        <v>4</v>
      </c>
      <c r="P23" s="20" t="s">
        <v>5</v>
      </c>
      <c r="Q23" s="20" t="s">
        <v>6</v>
      </c>
      <c r="R23" s="20" t="s">
        <v>7</v>
      </c>
      <c r="S23" s="12" t="s">
        <v>8</v>
      </c>
      <c r="T23" s="6"/>
      <c r="U23" s="6"/>
      <c r="V23" s="6" t="s">
        <v>4</v>
      </c>
      <c r="W23" s="6" t="s">
        <v>5</v>
      </c>
      <c r="X23" s="6" t="s">
        <v>6</v>
      </c>
      <c r="Y23" s="6" t="s">
        <v>7</v>
      </c>
      <c r="Z23" s="12" t="s">
        <v>8</v>
      </c>
      <c r="AA23" s="9"/>
      <c r="AB23" s="9"/>
    </row>
    <row r="24" spans="1:28" x14ac:dyDescent="0.35">
      <c r="A24" s="6"/>
      <c r="B24" s="6">
        <v>1</v>
      </c>
      <c r="C24" s="13">
        <v>4.7</v>
      </c>
      <c r="D24" s="13">
        <v>4.78</v>
      </c>
      <c r="E24" s="13">
        <v>5.63</v>
      </c>
      <c r="F24" s="13">
        <v>5.1100000000000003</v>
      </c>
      <c r="G24" s="6"/>
      <c r="H24" s="6">
        <v>1</v>
      </c>
      <c r="I24" s="13">
        <v>12.05</v>
      </c>
      <c r="J24" s="13">
        <v>12.59</v>
      </c>
      <c r="K24" s="13">
        <v>12.95</v>
      </c>
      <c r="L24" s="13">
        <v>13.55</v>
      </c>
      <c r="M24" s="20"/>
      <c r="N24" s="20">
        <v>1</v>
      </c>
      <c r="O24" s="13">
        <f>+(100-I24)</f>
        <v>87.95</v>
      </c>
      <c r="P24" s="13">
        <f t="shared" ref="P24:P38" si="8">+(100-J24)</f>
        <v>87.41</v>
      </c>
      <c r="Q24" s="13">
        <f t="shared" ref="Q24:Q38" si="9">+(100-K24)</f>
        <v>87.05</v>
      </c>
      <c r="R24" s="13">
        <f t="shared" ref="R24:R38" si="10">+(100-L24)</f>
        <v>86.45</v>
      </c>
      <c r="S24" s="15">
        <f>AVERAGE(O24:R24)</f>
        <v>87.215000000000003</v>
      </c>
      <c r="T24" s="6"/>
      <c r="U24" s="6">
        <v>1</v>
      </c>
      <c r="V24" s="13">
        <f>+(((C24*O24)/86)/12.96)*10</f>
        <v>3.708772968705139</v>
      </c>
      <c r="W24" s="13">
        <f>+(((C24*P24)/86)/12.96)*10</f>
        <v>3.6860016508756814</v>
      </c>
      <c r="X24" s="13">
        <f>+(((C24*O24)/86)/12.96)*10</f>
        <v>3.708772968705139</v>
      </c>
      <c r="Y24" s="13">
        <f>+(((C24*R24)/86)/12.96)*10</f>
        <v>3.6455193080677577</v>
      </c>
      <c r="Z24" s="15">
        <f>AVERAGE(V24:Y24)</f>
        <v>3.6872667240884294</v>
      </c>
      <c r="AA24" s="9"/>
      <c r="AB24" s="9"/>
    </row>
    <row r="25" spans="1:28" x14ac:dyDescent="0.35">
      <c r="A25" s="6"/>
      <c r="B25" s="6">
        <v>2</v>
      </c>
      <c r="C25" s="13">
        <v>5.48</v>
      </c>
      <c r="D25" s="13">
        <v>5.73</v>
      </c>
      <c r="E25" s="13">
        <v>4.7300000000000004</v>
      </c>
      <c r="F25" s="13">
        <v>6.11</v>
      </c>
      <c r="G25" s="6"/>
      <c r="H25" s="6">
        <v>2</v>
      </c>
      <c r="I25" s="13">
        <v>10.92</v>
      </c>
      <c r="J25" s="13">
        <v>11.01</v>
      </c>
      <c r="K25" s="13">
        <v>12.31</v>
      </c>
      <c r="L25" s="13">
        <v>12.96</v>
      </c>
      <c r="M25" s="20"/>
      <c r="N25" s="20">
        <v>2</v>
      </c>
      <c r="O25" s="13">
        <f t="shared" ref="O25:O38" si="11">+(100-I25)</f>
        <v>89.08</v>
      </c>
      <c r="P25" s="13">
        <f t="shared" si="8"/>
        <v>88.99</v>
      </c>
      <c r="Q25" s="13">
        <f t="shared" si="9"/>
        <v>87.69</v>
      </c>
      <c r="R25" s="13">
        <f t="shared" si="10"/>
        <v>87.039999999999992</v>
      </c>
      <c r="S25" s="15">
        <f t="shared" ref="S25:S38" si="12">AVERAGE(O25:R25)</f>
        <v>88.199999999999989</v>
      </c>
      <c r="T25" s="6"/>
      <c r="U25" s="6">
        <v>2</v>
      </c>
      <c r="V25" s="13">
        <f t="shared" ref="V25:V38" si="13">+(((C25*O25)/86)/12.96)*10</f>
        <v>4.3798306057995982</v>
      </c>
      <c r="W25" s="13">
        <f t="shared" ref="W25:W38" si="14">+(((C25*P25)/86)/12.96)*10</f>
        <v>4.3754055412001147</v>
      </c>
      <c r="X25" s="13">
        <f t="shared" ref="X25:X38" si="15">+(((C25*O25)/86)/12.96)*10</f>
        <v>4.3798306057995982</v>
      </c>
      <c r="Y25" s="13">
        <f t="shared" ref="Y25:Y38" si="16">+(((C25*R25)/86)/12.96)*10</f>
        <v>4.2795291415446446</v>
      </c>
      <c r="Z25" s="15">
        <f t="shared" ref="Z25:Z38" si="17">AVERAGE(V25:Y25)</f>
        <v>4.3536489735859885</v>
      </c>
      <c r="AA25" s="9"/>
      <c r="AB25" s="9"/>
    </row>
    <row r="26" spans="1:28" x14ac:dyDescent="0.35">
      <c r="A26" s="6"/>
      <c r="B26" s="6">
        <v>3</v>
      </c>
      <c r="C26" s="13">
        <v>5.98</v>
      </c>
      <c r="D26" s="13">
        <v>5.91</v>
      </c>
      <c r="E26" s="13">
        <v>5.17</v>
      </c>
      <c r="F26" s="13">
        <v>5.85</v>
      </c>
      <c r="G26" s="6"/>
      <c r="H26" s="6">
        <v>3</v>
      </c>
      <c r="I26" s="13">
        <v>11.03</v>
      </c>
      <c r="J26" s="13">
        <v>11</v>
      </c>
      <c r="K26" s="13">
        <v>12.63</v>
      </c>
      <c r="L26" s="13">
        <v>12.08</v>
      </c>
      <c r="M26" s="20"/>
      <c r="N26" s="20">
        <v>3</v>
      </c>
      <c r="O26" s="13">
        <f t="shared" si="11"/>
        <v>88.97</v>
      </c>
      <c r="P26" s="13">
        <f t="shared" si="8"/>
        <v>89</v>
      </c>
      <c r="Q26" s="13">
        <f t="shared" si="9"/>
        <v>87.37</v>
      </c>
      <c r="R26" s="13">
        <f t="shared" si="10"/>
        <v>87.92</v>
      </c>
      <c r="S26" s="15">
        <f t="shared" si="12"/>
        <v>88.315000000000012</v>
      </c>
      <c r="T26" s="6"/>
      <c r="U26" s="6">
        <v>3</v>
      </c>
      <c r="V26" s="13">
        <f t="shared" si="13"/>
        <v>4.7735483060579957</v>
      </c>
      <c r="W26" s="13">
        <f t="shared" si="14"/>
        <v>4.7751579098478327</v>
      </c>
      <c r="X26" s="13">
        <f t="shared" si="15"/>
        <v>4.7735483060579957</v>
      </c>
      <c r="Y26" s="13">
        <f t="shared" si="16"/>
        <v>4.7172121734137242</v>
      </c>
      <c r="Z26" s="15">
        <f t="shared" si="17"/>
        <v>4.7598666738443871</v>
      </c>
      <c r="AA26" s="9"/>
      <c r="AB26" s="9"/>
    </row>
    <row r="27" spans="1:28" x14ac:dyDescent="0.35">
      <c r="A27" s="6"/>
      <c r="B27" s="6">
        <v>4</v>
      </c>
      <c r="C27" s="13">
        <v>7.31</v>
      </c>
      <c r="D27" s="13">
        <v>7.45</v>
      </c>
      <c r="E27" s="13">
        <v>7.58</v>
      </c>
      <c r="F27" s="13">
        <v>5.96</v>
      </c>
      <c r="G27" s="6"/>
      <c r="H27" s="6">
        <v>4</v>
      </c>
      <c r="I27" s="13">
        <v>12.06</v>
      </c>
      <c r="J27" s="13">
        <v>12.04</v>
      </c>
      <c r="K27" s="13">
        <v>12.91</v>
      </c>
      <c r="L27" s="13">
        <v>11.61</v>
      </c>
      <c r="M27" s="20"/>
      <c r="N27" s="20">
        <v>4</v>
      </c>
      <c r="O27" s="13">
        <f t="shared" si="11"/>
        <v>87.94</v>
      </c>
      <c r="P27" s="13">
        <f t="shared" si="8"/>
        <v>87.960000000000008</v>
      </c>
      <c r="Q27" s="13">
        <f t="shared" si="9"/>
        <v>87.09</v>
      </c>
      <c r="R27" s="13">
        <f t="shared" si="10"/>
        <v>88.39</v>
      </c>
      <c r="S27" s="15">
        <f t="shared" si="12"/>
        <v>87.844999999999999</v>
      </c>
      <c r="T27" s="6"/>
      <c r="U27" s="6">
        <v>4</v>
      </c>
      <c r="V27" s="13">
        <f t="shared" si="13"/>
        <v>5.7676697530864187</v>
      </c>
      <c r="W27" s="13">
        <f t="shared" si="14"/>
        <v>5.7689814814814806</v>
      </c>
      <c r="X27" s="13">
        <f t="shared" si="15"/>
        <v>5.7676697530864187</v>
      </c>
      <c r="Y27" s="13">
        <f t="shared" si="16"/>
        <v>5.7971836419753071</v>
      </c>
      <c r="Z27" s="15">
        <f t="shared" si="17"/>
        <v>5.7753761574074058</v>
      </c>
      <c r="AA27" s="9"/>
      <c r="AB27" s="9"/>
    </row>
    <row r="28" spans="1:28" x14ac:dyDescent="0.35">
      <c r="A28" s="6"/>
      <c r="B28" s="6">
        <v>5</v>
      </c>
      <c r="C28" s="13">
        <v>6.94</v>
      </c>
      <c r="D28" s="13">
        <v>6.48</v>
      </c>
      <c r="E28" s="13">
        <v>6.04</v>
      </c>
      <c r="F28" s="13">
        <v>7.01</v>
      </c>
      <c r="G28" s="6"/>
      <c r="H28" s="6">
        <v>5</v>
      </c>
      <c r="I28" s="13">
        <v>11.78</v>
      </c>
      <c r="J28" s="13">
        <v>11.27</v>
      </c>
      <c r="K28" s="13">
        <v>13.74</v>
      </c>
      <c r="L28" s="13">
        <v>12.72</v>
      </c>
      <c r="M28" s="20"/>
      <c r="N28" s="20">
        <v>5</v>
      </c>
      <c r="O28" s="13">
        <f t="shared" si="11"/>
        <v>88.22</v>
      </c>
      <c r="P28" s="13">
        <f t="shared" si="8"/>
        <v>88.73</v>
      </c>
      <c r="Q28" s="13">
        <f t="shared" si="9"/>
        <v>86.26</v>
      </c>
      <c r="R28" s="13">
        <f t="shared" si="10"/>
        <v>87.28</v>
      </c>
      <c r="S28" s="15">
        <f t="shared" si="12"/>
        <v>87.622500000000002</v>
      </c>
      <c r="T28" s="6"/>
      <c r="U28" s="6">
        <v>5</v>
      </c>
      <c r="V28" s="13">
        <f t="shared" si="13"/>
        <v>5.4931703990812517</v>
      </c>
      <c r="W28" s="13">
        <f t="shared" si="14"/>
        <v>5.5249264283663502</v>
      </c>
      <c r="X28" s="13">
        <f t="shared" si="15"/>
        <v>5.4931703990812517</v>
      </c>
      <c r="Y28" s="13">
        <f t="shared" si="16"/>
        <v>5.4346396784381277</v>
      </c>
      <c r="Z28" s="15">
        <f t="shared" si="17"/>
        <v>5.4864767262417455</v>
      </c>
      <c r="AA28" s="9"/>
      <c r="AB28" s="9"/>
    </row>
    <row r="29" spans="1:28" x14ac:dyDescent="0.35">
      <c r="A29" s="11" t="s">
        <v>11</v>
      </c>
      <c r="B29" s="6">
        <v>6</v>
      </c>
      <c r="C29" s="13">
        <v>6.69</v>
      </c>
      <c r="D29" s="13">
        <v>7.21</v>
      </c>
      <c r="E29" s="13">
        <v>7.22</v>
      </c>
      <c r="F29" s="13">
        <v>6.69</v>
      </c>
      <c r="G29" s="11" t="s">
        <v>11</v>
      </c>
      <c r="H29" s="6">
        <v>6</v>
      </c>
      <c r="I29" s="13">
        <v>11.68</v>
      </c>
      <c r="J29" s="13">
        <v>11.46</v>
      </c>
      <c r="K29" s="13">
        <v>12.18</v>
      </c>
      <c r="L29" s="13">
        <v>12.88</v>
      </c>
      <c r="M29" s="11" t="s">
        <v>11</v>
      </c>
      <c r="N29" s="20">
        <v>6</v>
      </c>
      <c r="O29" s="13">
        <f t="shared" si="11"/>
        <v>88.32</v>
      </c>
      <c r="P29" s="13">
        <f t="shared" si="8"/>
        <v>88.539999999999992</v>
      </c>
      <c r="Q29" s="13">
        <f t="shared" si="9"/>
        <v>87.82</v>
      </c>
      <c r="R29" s="13">
        <f t="shared" si="10"/>
        <v>87.12</v>
      </c>
      <c r="S29" s="15">
        <f t="shared" si="12"/>
        <v>87.949999999999989</v>
      </c>
      <c r="T29" s="11" t="s">
        <v>11</v>
      </c>
      <c r="U29" s="6">
        <v>6</v>
      </c>
      <c r="V29" s="13">
        <f t="shared" si="13"/>
        <v>5.3012919896640831</v>
      </c>
      <c r="W29" s="13">
        <f t="shared" si="14"/>
        <v>5.3144972006890612</v>
      </c>
      <c r="X29" s="13">
        <f t="shared" si="15"/>
        <v>5.3012919896640831</v>
      </c>
      <c r="Y29" s="13">
        <f t="shared" si="16"/>
        <v>5.2292635658914737</v>
      </c>
      <c r="Z29" s="15">
        <f t="shared" si="17"/>
        <v>5.2865861864771748</v>
      </c>
      <c r="AA29" s="9"/>
      <c r="AB29" s="9"/>
    </row>
    <row r="30" spans="1:28" x14ac:dyDescent="0.35">
      <c r="A30" s="6" t="s">
        <v>12</v>
      </c>
      <c r="B30" s="6">
        <v>7</v>
      </c>
      <c r="C30" s="13">
        <v>6.97</v>
      </c>
      <c r="D30" s="13">
        <v>6.38</v>
      </c>
      <c r="E30" s="13">
        <v>6.96</v>
      </c>
      <c r="F30" s="13">
        <v>6.48</v>
      </c>
      <c r="G30" s="6" t="s">
        <v>12</v>
      </c>
      <c r="H30" s="6">
        <v>7</v>
      </c>
      <c r="I30" s="13">
        <v>10.77</v>
      </c>
      <c r="J30" s="13">
        <v>10.029999999999999</v>
      </c>
      <c r="K30" s="13">
        <v>11.93</v>
      </c>
      <c r="L30" s="13">
        <v>12.06</v>
      </c>
      <c r="M30" s="20" t="s">
        <v>12</v>
      </c>
      <c r="N30" s="20">
        <v>7</v>
      </c>
      <c r="O30" s="13">
        <f t="shared" si="11"/>
        <v>89.23</v>
      </c>
      <c r="P30" s="13">
        <f t="shared" si="8"/>
        <v>89.97</v>
      </c>
      <c r="Q30" s="13">
        <f t="shared" si="9"/>
        <v>88.07</v>
      </c>
      <c r="R30" s="13">
        <f t="shared" si="10"/>
        <v>87.94</v>
      </c>
      <c r="S30" s="15">
        <f t="shared" si="12"/>
        <v>88.802499999999995</v>
      </c>
      <c r="T30" s="6" t="s">
        <v>12</v>
      </c>
      <c r="U30" s="6">
        <v>7</v>
      </c>
      <c r="V30" s="13">
        <f t="shared" si="13"/>
        <v>5.5800773399368353</v>
      </c>
      <c r="W30" s="13">
        <f t="shared" si="14"/>
        <v>5.6263538975021525</v>
      </c>
      <c r="X30" s="13">
        <f t="shared" si="15"/>
        <v>5.5800773399368353</v>
      </c>
      <c r="Y30" s="13">
        <f t="shared" si="16"/>
        <v>5.4994060436405388</v>
      </c>
      <c r="Z30" s="15">
        <f t="shared" si="17"/>
        <v>5.57147865525409</v>
      </c>
      <c r="AA30" s="9"/>
      <c r="AB30" s="9"/>
    </row>
    <row r="31" spans="1:28" x14ac:dyDescent="0.35">
      <c r="A31" s="6"/>
      <c r="B31" s="6">
        <v>8</v>
      </c>
      <c r="C31" s="13">
        <v>6.34</v>
      </c>
      <c r="D31" s="13">
        <v>6.08</v>
      </c>
      <c r="E31" s="13">
        <v>5.62</v>
      </c>
      <c r="F31" s="13">
        <v>7.06</v>
      </c>
      <c r="G31" s="6"/>
      <c r="H31" s="6">
        <v>8</v>
      </c>
      <c r="I31" s="13">
        <v>12.04</v>
      </c>
      <c r="J31" s="13">
        <v>11.5</v>
      </c>
      <c r="K31" s="13">
        <v>11.39</v>
      </c>
      <c r="L31" s="13">
        <v>13.2</v>
      </c>
      <c r="M31" s="20"/>
      <c r="N31" s="20">
        <v>8</v>
      </c>
      <c r="O31" s="13">
        <f t="shared" si="11"/>
        <v>87.960000000000008</v>
      </c>
      <c r="P31" s="13">
        <f t="shared" si="8"/>
        <v>88.5</v>
      </c>
      <c r="Q31" s="13">
        <f t="shared" si="9"/>
        <v>88.61</v>
      </c>
      <c r="R31" s="13">
        <f t="shared" si="10"/>
        <v>86.8</v>
      </c>
      <c r="S31" s="15">
        <f t="shared" si="12"/>
        <v>87.967500000000001</v>
      </c>
      <c r="T31" s="6"/>
      <c r="U31" s="6">
        <v>8</v>
      </c>
      <c r="V31" s="13">
        <f t="shared" si="13"/>
        <v>5.0034668389319563</v>
      </c>
      <c r="W31" s="13">
        <f t="shared" si="14"/>
        <v>5.0341838931955216</v>
      </c>
      <c r="X31" s="13">
        <f t="shared" si="15"/>
        <v>5.0034668389319563</v>
      </c>
      <c r="Y31" s="13">
        <f t="shared" si="16"/>
        <v>4.9374820556991095</v>
      </c>
      <c r="Z31" s="15">
        <f t="shared" si="17"/>
        <v>4.9946499066896362</v>
      </c>
      <c r="AA31" s="9"/>
      <c r="AB31" s="9"/>
    </row>
    <row r="32" spans="1:28" x14ac:dyDescent="0.35">
      <c r="A32" s="6"/>
      <c r="B32" s="6">
        <v>9</v>
      </c>
      <c r="C32" s="13">
        <v>7.14</v>
      </c>
      <c r="D32" s="13">
        <v>6.87</v>
      </c>
      <c r="E32" s="13">
        <v>6.41</v>
      </c>
      <c r="F32" s="13">
        <v>6.93</v>
      </c>
      <c r="G32" s="6"/>
      <c r="H32" s="6">
        <v>9</v>
      </c>
      <c r="I32" s="13">
        <v>12.2</v>
      </c>
      <c r="J32" s="13">
        <v>11.51</v>
      </c>
      <c r="K32" s="13">
        <v>12.98</v>
      </c>
      <c r="L32" s="13">
        <v>13.71</v>
      </c>
      <c r="M32" s="20"/>
      <c r="N32" s="20">
        <v>9</v>
      </c>
      <c r="O32" s="13">
        <f t="shared" si="11"/>
        <v>87.8</v>
      </c>
      <c r="P32" s="13">
        <f t="shared" si="8"/>
        <v>88.49</v>
      </c>
      <c r="Q32" s="13">
        <f t="shared" si="9"/>
        <v>87.02</v>
      </c>
      <c r="R32" s="13">
        <f t="shared" si="10"/>
        <v>86.289999999999992</v>
      </c>
      <c r="S32" s="15">
        <f t="shared" si="12"/>
        <v>87.4</v>
      </c>
      <c r="T32" s="6"/>
      <c r="U32" s="6">
        <v>9</v>
      </c>
      <c r="V32" s="13">
        <f t="shared" si="13"/>
        <v>5.624569336778638</v>
      </c>
      <c r="W32" s="13">
        <f t="shared" si="14"/>
        <v>5.6687715331610677</v>
      </c>
      <c r="X32" s="13">
        <f t="shared" si="15"/>
        <v>5.624569336778638</v>
      </c>
      <c r="Y32" s="13">
        <f t="shared" si="16"/>
        <v>5.5278369939707126</v>
      </c>
      <c r="Z32" s="15">
        <f t="shared" si="17"/>
        <v>5.6114368001722639</v>
      </c>
      <c r="AA32" s="9"/>
      <c r="AB32" s="9"/>
    </row>
    <row r="33" spans="1:28" x14ac:dyDescent="0.35">
      <c r="A33" s="6"/>
      <c r="B33" s="6">
        <v>10</v>
      </c>
      <c r="C33" s="13">
        <v>7.4</v>
      </c>
      <c r="D33" s="13">
        <v>6.99</v>
      </c>
      <c r="E33" s="13">
        <v>6.07</v>
      </c>
      <c r="F33" s="13">
        <v>8.14</v>
      </c>
      <c r="G33" s="6"/>
      <c r="H33" s="6">
        <v>10</v>
      </c>
      <c r="I33" s="13">
        <v>10.45</v>
      </c>
      <c r="J33" s="13">
        <v>11.53</v>
      </c>
      <c r="K33" s="13">
        <v>12.14</v>
      </c>
      <c r="L33" s="13">
        <v>12.36</v>
      </c>
      <c r="M33" s="20"/>
      <c r="N33" s="20">
        <v>10</v>
      </c>
      <c r="O33" s="13">
        <f t="shared" si="11"/>
        <v>89.55</v>
      </c>
      <c r="P33" s="13">
        <f t="shared" si="8"/>
        <v>88.47</v>
      </c>
      <c r="Q33" s="13">
        <f t="shared" si="9"/>
        <v>87.86</v>
      </c>
      <c r="R33" s="13">
        <f t="shared" si="10"/>
        <v>87.64</v>
      </c>
      <c r="S33" s="15">
        <f t="shared" si="12"/>
        <v>88.38</v>
      </c>
      <c r="T33" s="6"/>
      <c r="U33" s="6">
        <v>10</v>
      </c>
      <c r="V33" s="13">
        <f t="shared" si="13"/>
        <v>5.9455749354005158</v>
      </c>
      <c r="W33" s="13">
        <f t="shared" si="14"/>
        <v>5.8738695090439279</v>
      </c>
      <c r="X33" s="13">
        <f t="shared" si="15"/>
        <v>5.9455749354005158</v>
      </c>
      <c r="Y33" s="13">
        <f t="shared" si="16"/>
        <v>5.8187625610106233</v>
      </c>
      <c r="Z33" s="15">
        <f t="shared" si="17"/>
        <v>5.8959454852138951</v>
      </c>
      <c r="AA33" s="9"/>
      <c r="AB33" s="9"/>
    </row>
    <row r="34" spans="1:28" x14ac:dyDescent="0.35">
      <c r="A34" s="6"/>
      <c r="B34" s="6">
        <v>11</v>
      </c>
      <c r="C34" s="13">
        <v>7.03</v>
      </c>
      <c r="D34" s="13">
        <v>6.94</v>
      </c>
      <c r="E34" s="13">
        <v>6.4</v>
      </c>
      <c r="F34" s="13">
        <v>5.96</v>
      </c>
      <c r="G34" s="6"/>
      <c r="H34" s="6">
        <v>11</v>
      </c>
      <c r="I34" s="13">
        <v>11.98</v>
      </c>
      <c r="J34" s="13">
        <v>11.67</v>
      </c>
      <c r="K34" s="13">
        <v>13.22</v>
      </c>
      <c r="L34" s="13">
        <v>12.5</v>
      </c>
      <c r="M34" s="20"/>
      <c r="N34" s="20">
        <v>11</v>
      </c>
      <c r="O34" s="13">
        <f t="shared" si="11"/>
        <v>88.02</v>
      </c>
      <c r="P34" s="13">
        <f t="shared" si="8"/>
        <v>88.33</v>
      </c>
      <c r="Q34" s="13">
        <f t="shared" si="9"/>
        <v>86.78</v>
      </c>
      <c r="R34" s="13">
        <f t="shared" si="10"/>
        <v>87.5</v>
      </c>
      <c r="S34" s="15">
        <f t="shared" si="12"/>
        <v>87.657499999999999</v>
      </c>
      <c r="T34" s="6"/>
      <c r="U34" s="6">
        <v>11</v>
      </c>
      <c r="V34" s="13">
        <f t="shared" si="13"/>
        <v>5.5517926356589147</v>
      </c>
      <c r="W34" s="13">
        <f t="shared" si="14"/>
        <v>5.5713456431237436</v>
      </c>
      <c r="X34" s="13">
        <f t="shared" si="15"/>
        <v>5.5517926356589147</v>
      </c>
      <c r="Y34" s="13">
        <f t="shared" si="16"/>
        <v>5.5189940424921033</v>
      </c>
      <c r="Z34" s="15">
        <f t="shared" si="17"/>
        <v>5.5484812392334195</v>
      </c>
      <c r="AA34" s="9"/>
      <c r="AB34" s="9"/>
    </row>
    <row r="35" spans="1:28" x14ac:dyDescent="0.35">
      <c r="A35" s="6"/>
      <c r="B35" s="6">
        <v>12</v>
      </c>
      <c r="C35" s="13">
        <v>7.2</v>
      </c>
      <c r="D35" s="13">
        <v>6.99</v>
      </c>
      <c r="E35" s="13">
        <v>5.8</v>
      </c>
      <c r="F35" s="13">
        <v>6.76</v>
      </c>
      <c r="G35" s="6"/>
      <c r="H35" s="6">
        <v>12</v>
      </c>
      <c r="I35" s="13">
        <v>10.11</v>
      </c>
      <c r="J35" s="13">
        <v>10.98</v>
      </c>
      <c r="K35" s="13">
        <v>11.9</v>
      </c>
      <c r="L35" s="13">
        <v>11.87</v>
      </c>
      <c r="M35" s="20"/>
      <c r="N35" s="20">
        <v>12</v>
      </c>
      <c r="O35" s="13">
        <f t="shared" si="11"/>
        <v>89.89</v>
      </c>
      <c r="P35" s="13">
        <f t="shared" si="8"/>
        <v>89.02</v>
      </c>
      <c r="Q35" s="13">
        <f t="shared" si="9"/>
        <v>88.1</v>
      </c>
      <c r="R35" s="13">
        <f t="shared" si="10"/>
        <v>88.13</v>
      </c>
      <c r="S35" s="15">
        <f t="shared" si="12"/>
        <v>88.784999999999997</v>
      </c>
      <c r="T35" s="6"/>
      <c r="U35" s="6">
        <v>12</v>
      </c>
      <c r="V35" s="13">
        <f t="shared" si="13"/>
        <v>5.8068475452196378</v>
      </c>
      <c r="W35" s="13">
        <f t="shared" si="14"/>
        <v>5.7506459948320412</v>
      </c>
      <c r="X35" s="13">
        <f t="shared" si="15"/>
        <v>5.8068475452196378</v>
      </c>
      <c r="Y35" s="13">
        <f t="shared" si="16"/>
        <v>5.6931524547803614</v>
      </c>
      <c r="Z35" s="15">
        <f t="shared" si="17"/>
        <v>5.7643733850129193</v>
      </c>
      <c r="AA35" s="9"/>
      <c r="AB35" s="9"/>
    </row>
    <row r="36" spans="1:28" x14ac:dyDescent="0.35">
      <c r="A36" s="6"/>
      <c r="B36" s="6">
        <v>13</v>
      </c>
      <c r="C36" s="13">
        <v>6.13</v>
      </c>
      <c r="D36" s="13">
        <v>5.99</v>
      </c>
      <c r="E36" s="13">
        <v>5.79</v>
      </c>
      <c r="F36" s="13">
        <v>5.0199999999999996</v>
      </c>
      <c r="G36" s="6"/>
      <c r="H36" s="6">
        <v>13</v>
      </c>
      <c r="I36" s="13">
        <v>10.58</v>
      </c>
      <c r="J36" s="13">
        <v>10.6</v>
      </c>
      <c r="K36" s="13">
        <v>13.97</v>
      </c>
      <c r="L36" s="13">
        <v>13.54</v>
      </c>
      <c r="M36" s="20"/>
      <c r="N36" s="20">
        <v>13</v>
      </c>
      <c r="O36" s="13">
        <f t="shared" si="11"/>
        <v>89.42</v>
      </c>
      <c r="P36" s="13">
        <f t="shared" si="8"/>
        <v>89.4</v>
      </c>
      <c r="Q36" s="13">
        <f t="shared" si="9"/>
        <v>86.03</v>
      </c>
      <c r="R36" s="13">
        <f t="shared" si="10"/>
        <v>86.460000000000008</v>
      </c>
      <c r="S36" s="15">
        <f t="shared" si="12"/>
        <v>87.827500000000015</v>
      </c>
      <c r="T36" s="6"/>
      <c r="U36" s="6">
        <v>13</v>
      </c>
      <c r="V36" s="13">
        <f t="shared" si="13"/>
        <v>4.9180358168245757</v>
      </c>
      <c r="W36" s="13">
        <f t="shared" si="14"/>
        <v>4.9169358311800169</v>
      </c>
      <c r="X36" s="13">
        <f t="shared" si="15"/>
        <v>4.9180358168245757</v>
      </c>
      <c r="Y36" s="13">
        <f t="shared" si="16"/>
        <v>4.7552379414298018</v>
      </c>
      <c r="Z36" s="15">
        <f t="shared" si="17"/>
        <v>4.877061351564743</v>
      </c>
      <c r="AA36" s="9"/>
      <c r="AB36" s="9"/>
    </row>
    <row r="37" spans="1:28" x14ac:dyDescent="0.35">
      <c r="A37" s="6"/>
      <c r="B37" s="6">
        <v>14</v>
      </c>
      <c r="C37" s="13">
        <v>6.91</v>
      </c>
      <c r="D37" s="13">
        <v>6.53</v>
      </c>
      <c r="E37" s="13">
        <v>6.23</v>
      </c>
      <c r="F37" s="13">
        <v>7.3</v>
      </c>
      <c r="G37" s="6"/>
      <c r="H37" s="6">
        <v>14</v>
      </c>
      <c r="I37" s="13">
        <v>10.48</v>
      </c>
      <c r="J37" s="13">
        <v>10.039999999999999</v>
      </c>
      <c r="K37" s="13">
        <v>12.62</v>
      </c>
      <c r="L37" s="13">
        <v>12.24</v>
      </c>
      <c r="M37" s="20"/>
      <c r="N37" s="20">
        <v>14</v>
      </c>
      <c r="O37" s="13">
        <f t="shared" si="11"/>
        <v>89.52</v>
      </c>
      <c r="P37" s="13">
        <f t="shared" si="8"/>
        <v>89.960000000000008</v>
      </c>
      <c r="Q37" s="13">
        <f t="shared" si="9"/>
        <v>87.38</v>
      </c>
      <c r="R37" s="13">
        <f t="shared" si="10"/>
        <v>87.76</v>
      </c>
      <c r="S37" s="15">
        <f t="shared" si="12"/>
        <v>88.655000000000001</v>
      </c>
      <c r="T37" s="6"/>
      <c r="U37" s="6">
        <v>14</v>
      </c>
      <c r="V37" s="13">
        <f t="shared" si="13"/>
        <v>5.5500215331610683</v>
      </c>
      <c r="W37" s="13">
        <f t="shared" si="14"/>
        <v>5.5773004593741042</v>
      </c>
      <c r="X37" s="13">
        <f t="shared" si="15"/>
        <v>5.5500215331610683</v>
      </c>
      <c r="Y37" s="13">
        <f t="shared" si="16"/>
        <v>5.440905828308928</v>
      </c>
      <c r="Z37" s="15">
        <f t="shared" si="17"/>
        <v>5.5295623385012922</v>
      </c>
      <c r="AA37" s="9"/>
      <c r="AB37" s="9"/>
    </row>
    <row r="38" spans="1:28" x14ac:dyDescent="0.35">
      <c r="A38" s="6"/>
      <c r="B38" s="6">
        <v>15</v>
      </c>
      <c r="C38" s="13">
        <v>6.6</v>
      </c>
      <c r="D38" s="13">
        <v>6.47</v>
      </c>
      <c r="E38" s="13">
        <v>6.26</v>
      </c>
      <c r="F38" s="13">
        <v>6</v>
      </c>
      <c r="G38" s="6"/>
      <c r="H38" s="6">
        <v>15</v>
      </c>
      <c r="I38" s="13">
        <v>11.71</v>
      </c>
      <c r="J38" s="13">
        <v>12.92</v>
      </c>
      <c r="K38" s="13">
        <v>13.02</v>
      </c>
      <c r="L38" s="13">
        <v>13.08</v>
      </c>
      <c r="M38" s="20"/>
      <c r="N38" s="20">
        <v>15</v>
      </c>
      <c r="O38" s="13">
        <f t="shared" si="11"/>
        <v>88.289999999999992</v>
      </c>
      <c r="P38" s="13">
        <f t="shared" si="8"/>
        <v>87.08</v>
      </c>
      <c r="Q38" s="13">
        <f t="shared" si="9"/>
        <v>86.98</v>
      </c>
      <c r="R38" s="13">
        <f t="shared" si="10"/>
        <v>86.92</v>
      </c>
      <c r="S38" s="15">
        <f t="shared" si="12"/>
        <v>87.31750000000001</v>
      </c>
      <c r="T38" s="6"/>
      <c r="U38" s="6">
        <v>15</v>
      </c>
      <c r="V38" s="13">
        <f t="shared" si="13"/>
        <v>5.2281976744186043</v>
      </c>
      <c r="W38" s="13">
        <f t="shared" si="14"/>
        <v>5.1565460809646844</v>
      </c>
      <c r="X38" s="13">
        <f t="shared" si="15"/>
        <v>5.2281976744186043</v>
      </c>
      <c r="Y38" s="13">
        <f t="shared" si="16"/>
        <v>5.1470714900947456</v>
      </c>
      <c r="Z38" s="15">
        <f t="shared" si="17"/>
        <v>5.1900032299741596</v>
      </c>
      <c r="AA38" s="9"/>
      <c r="AB38" s="9"/>
    </row>
    <row r="39" spans="1:28" x14ac:dyDescent="0.35">
      <c r="A39" s="6"/>
      <c r="B39" s="6"/>
      <c r="C39" s="13"/>
      <c r="D39" s="13"/>
      <c r="E39" s="13"/>
      <c r="F39" s="13"/>
      <c r="G39" s="6"/>
      <c r="H39" s="6"/>
      <c r="I39" s="13"/>
      <c r="J39" s="13"/>
      <c r="K39" s="13"/>
      <c r="L39" s="13"/>
      <c r="M39" s="20"/>
      <c r="N39" s="20"/>
      <c r="O39" s="13"/>
      <c r="P39" s="13"/>
      <c r="Q39" s="13"/>
      <c r="R39" s="13"/>
      <c r="S39" s="9"/>
      <c r="T39" s="6"/>
      <c r="U39" s="6"/>
      <c r="V39" s="13"/>
      <c r="W39" s="13"/>
      <c r="X39" s="13"/>
      <c r="Y39" s="13"/>
      <c r="Z39" s="9"/>
      <c r="AA39" s="9"/>
      <c r="AB39" s="9"/>
    </row>
    <row r="40" spans="1:28" x14ac:dyDescent="0.35">
      <c r="A40" s="6"/>
      <c r="B40" s="6"/>
      <c r="C40" s="6" t="s">
        <v>4</v>
      </c>
      <c r="D40" s="6" t="s">
        <v>5</v>
      </c>
      <c r="E40" s="6" t="s">
        <v>6</v>
      </c>
      <c r="F40" s="6" t="s">
        <v>7</v>
      </c>
      <c r="G40" s="6"/>
      <c r="H40" s="6"/>
      <c r="I40" s="6" t="s">
        <v>4</v>
      </c>
      <c r="J40" s="6" t="s">
        <v>5</v>
      </c>
      <c r="K40" s="6" t="s">
        <v>6</v>
      </c>
      <c r="L40" s="6" t="s">
        <v>7</v>
      </c>
      <c r="M40" s="20"/>
      <c r="N40" s="20"/>
      <c r="O40" s="20" t="s">
        <v>4</v>
      </c>
      <c r="P40" s="20" t="s">
        <v>5</v>
      </c>
      <c r="Q40" s="20" t="s">
        <v>6</v>
      </c>
      <c r="R40" s="20" t="s">
        <v>7</v>
      </c>
      <c r="S40" s="12" t="s">
        <v>8</v>
      </c>
      <c r="T40" s="6"/>
      <c r="U40" s="6"/>
      <c r="V40" s="6" t="s">
        <v>4</v>
      </c>
      <c r="W40" s="6" t="s">
        <v>5</v>
      </c>
      <c r="X40" s="6" t="s">
        <v>6</v>
      </c>
      <c r="Y40" s="6" t="s">
        <v>7</v>
      </c>
      <c r="Z40" s="12" t="s">
        <v>8</v>
      </c>
      <c r="AA40" s="9"/>
      <c r="AB40" s="9"/>
    </row>
    <row r="41" spans="1:28" x14ac:dyDescent="0.35">
      <c r="A41" s="6"/>
      <c r="B41" s="6">
        <v>1</v>
      </c>
      <c r="C41" s="13">
        <v>5.93</v>
      </c>
      <c r="D41" s="13">
        <v>5.8</v>
      </c>
      <c r="E41" s="13">
        <v>6.25</v>
      </c>
      <c r="F41" s="13">
        <v>5.98</v>
      </c>
      <c r="G41" s="6"/>
      <c r="H41" s="6">
        <v>1</v>
      </c>
      <c r="I41" s="13">
        <v>13.92</v>
      </c>
      <c r="J41" s="13">
        <v>11.88</v>
      </c>
      <c r="K41" s="13">
        <v>12.36</v>
      </c>
      <c r="L41" s="13">
        <v>12.51</v>
      </c>
      <c r="M41" s="20"/>
      <c r="N41" s="20">
        <v>1</v>
      </c>
      <c r="O41" s="13">
        <f>+(100-I41)</f>
        <v>86.08</v>
      </c>
      <c r="P41" s="13">
        <f t="shared" ref="P41:P55" si="18">+(100-J41)</f>
        <v>88.12</v>
      </c>
      <c r="Q41" s="13">
        <f t="shared" ref="Q41:Q55" si="19">+(100-K41)</f>
        <v>87.64</v>
      </c>
      <c r="R41" s="13">
        <f t="shared" ref="R41:R55" si="20">+(100-L41)</f>
        <v>87.49</v>
      </c>
      <c r="S41" s="15">
        <f>AVERAGE(O41:R41)</f>
        <v>87.332499999999996</v>
      </c>
      <c r="T41" s="6"/>
      <c r="U41" s="6">
        <v>1</v>
      </c>
      <c r="V41" s="13">
        <f>+(((C41*O41)/86)/12.96)*10</f>
        <v>4.5798736721217335</v>
      </c>
      <c r="W41" s="13">
        <f>+(((C41*P41)/86)/12.96)*10</f>
        <v>4.6884115704852132</v>
      </c>
      <c r="X41" s="13">
        <f>+(((C41*O41)/86)/12.96)*10</f>
        <v>4.5798736721217335</v>
      </c>
      <c r="Y41" s="13">
        <f>+(((C41*R41)/86)/12.96)*10</f>
        <v>4.6548925136376678</v>
      </c>
      <c r="Z41" s="15">
        <f>AVERAGE(V41:Y41)</f>
        <v>4.625762857091587</v>
      </c>
      <c r="AA41" s="9"/>
      <c r="AB41" s="9"/>
    </row>
    <row r="42" spans="1:28" x14ac:dyDescent="0.35">
      <c r="A42" s="6"/>
      <c r="B42" s="6">
        <v>2</v>
      </c>
      <c r="C42" s="13">
        <v>7.86</v>
      </c>
      <c r="D42" s="13">
        <v>6.86</v>
      </c>
      <c r="E42" s="13">
        <v>7.3</v>
      </c>
      <c r="F42" s="13">
        <v>6.26</v>
      </c>
      <c r="G42" s="6"/>
      <c r="H42" s="6">
        <v>2</v>
      </c>
      <c r="I42" s="13">
        <v>14.1</v>
      </c>
      <c r="J42" s="13">
        <v>13.3</v>
      </c>
      <c r="K42" s="13">
        <v>10.6</v>
      </c>
      <c r="L42" s="13">
        <v>10.63</v>
      </c>
      <c r="M42" s="20"/>
      <c r="N42" s="20">
        <v>2</v>
      </c>
      <c r="O42" s="13">
        <f t="shared" ref="O42:O55" si="21">+(100-I42)</f>
        <v>85.9</v>
      </c>
      <c r="P42" s="13">
        <f t="shared" si="18"/>
        <v>86.7</v>
      </c>
      <c r="Q42" s="13">
        <f t="shared" si="19"/>
        <v>89.4</v>
      </c>
      <c r="R42" s="13">
        <f t="shared" si="20"/>
        <v>89.37</v>
      </c>
      <c r="S42" s="15">
        <f t="shared" ref="S42:S55" si="22">AVERAGE(O42:R42)</f>
        <v>87.842500000000001</v>
      </c>
      <c r="T42" s="6"/>
      <c r="U42" s="6">
        <v>2</v>
      </c>
      <c r="V42" s="13">
        <f t="shared" ref="V42:V55" si="23">+(((C42*O42)/86)/12.96)*10</f>
        <v>6.0577627045650306</v>
      </c>
      <c r="W42" s="13">
        <f t="shared" ref="W42:W55" si="24">+(((C42*P42)/86)/12.96)*10</f>
        <v>6.1141795865633073</v>
      </c>
      <c r="X42" s="13">
        <f t="shared" ref="X42:X55" si="25">+(((C42*O42)/86)/12.96)*10</f>
        <v>6.0577627045650306</v>
      </c>
      <c r="Y42" s="13">
        <f t="shared" ref="Y42:Y55" si="26">+(((C42*R42)/86)/12.96)*10</f>
        <v>6.302470930232559</v>
      </c>
      <c r="Z42" s="15">
        <f t="shared" ref="Z42:Z55" si="27">AVERAGE(V42:Y42)</f>
        <v>6.1330439814814817</v>
      </c>
      <c r="AA42" s="9"/>
      <c r="AB42" s="9"/>
    </row>
    <row r="43" spans="1:28" x14ac:dyDescent="0.35">
      <c r="A43" s="6"/>
      <c r="B43" s="6">
        <v>3</v>
      </c>
      <c r="C43" s="13">
        <v>7.88</v>
      </c>
      <c r="D43" s="13">
        <v>6.9</v>
      </c>
      <c r="E43" s="13">
        <v>7.64</v>
      </c>
      <c r="F43" s="13">
        <v>6.34</v>
      </c>
      <c r="G43" s="6"/>
      <c r="H43" s="6">
        <v>3</v>
      </c>
      <c r="I43" s="13">
        <v>12.69</v>
      </c>
      <c r="J43" s="13">
        <v>12.18</v>
      </c>
      <c r="K43" s="13">
        <v>11.15</v>
      </c>
      <c r="L43" s="13">
        <v>11.31</v>
      </c>
      <c r="M43" s="20"/>
      <c r="N43" s="20">
        <v>3</v>
      </c>
      <c r="O43" s="13">
        <f t="shared" si="21"/>
        <v>87.31</v>
      </c>
      <c r="P43" s="13">
        <f t="shared" si="18"/>
        <v>87.82</v>
      </c>
      <c r="Q43" s="13">
        <f t="shared" si="19"/>
        <v>88.85</v>
      </c>
      <c r="R43" s="13">
        <f t="shared" si="20"/>
        <v>88.69</v>
      </c>
      <c r="S43" s="15">
        <f t="shared" si="22"/>
        <v>88.167500000000004</v>
      </c>
      <c r="T43" s="6"/>
      <c r="U43" s="6">
        <v>3</v>
      </c>
      <c r="V43" s="13">
        <f t="shared" si="23"/>
        <v>6.1728646281940858</v>
      </c>
      <c r="W43" s="13">
        <f t="shared" si="24"/>
        <v>6.2089219064025256</v>
      </c>
      <c r="X43" s="13">
        <f t="shared" si="25"/>
        <v>6.1728646281940858</v>
      </c>
      <c r="Y43" s="13">
        <f t="shared" si="26"/>
        <v>6.2704313809933954</v>
      </c>
      <c r="Z43" s="15">
        <f t="shared" si="27"/>
        <v>6.2062706359460229</v>
      </c>
      <c r="AA43" s="9"/>
      <c r="AB43" s="9"/>
    </row>
    <row r="44" spans="1:28" x14ac:dyDescent="0.35">
      <c r="A44" s="6"/>
      <c r="B44" s="6">
        <v>4</v>
      </c>
      <c r="C44" s="13">
        <v>9.9700000000000006</v>
      </c>
      <c r="D44" s="13">
        <v>8.73</v>
      </c>
      <c r="E44" s="13">
        <v>9.25</v>
      </c>
      <c r="F44" s="13">
        <v>7.31</v>
      </c>
      <c r="G44" s="6"/>
      <c r="H44" s="6">
        <v>4</v>
      </c>
      <c r="I44" s="13">
        <v>14.33</v>
      </c>
      <c r="J44" s="13">
        <v>14.02</v>
      </c>
      <c r="K44" s="13">
        <v>11.84</v>
      </c>
      <c r="L44" s="13">
        <v>11.7</v>
      </c>
      <c r="M44" s="20"/>
      <c r="N44" s="20">
        <v>4</v>
      </c>
      <c r="O44" s="13">
        <f t="shared" si="21"/>
        <v>85.67</v>
      </c>
      <c r="P44" s="13">
        <f t="shared" si="18"/>
        <v>85.98</v>
      </c>
      <c r="Q44" s="13">
        <f t="shared" si="19"/>
        <v>88.16</v>
      </c>
      <c r="R44" s="13">
        <f t="shared" si="20"/>
        <v>88.3</v>
      </c>
      <c r="S44" s="15">
        <f t="shared" si="22"/>
        <v>87.027500000000003</v>
      </c>
      <c r="T44" s="6"/>
      <c r="U44" s="6">
        <v>4</v>
      </c>
      <c r="V44" s="13">
        <f t="shared" si="23"/>
        <v>7.663381962388744</v>
      </c>
      <c r="W44" s="13">
        <f t="shared" si="24"/>
        <v>7.6911121877691659</v>
      </c>
      <c r="X44" s="13">
        <f t="shared" si="25"/>
        <v>7.663381962388744</v>
      </c>
      <c r="Y44" s="13">
        <f t="shared" si="26"/>
        <v>7.8986416164226236</v>
      </c>
      <c r="Z44" s="15">
        <f t="shared" si="27"/>
        <v>7.7291294322423187</v>
      </c>
      <c r="AA44" s="9"/>
      <c r="AB44" s="9"/>
    </row>
    <row r="45" spans="1:28" x14ac:dyDescent="0.35">
      <c r="A45" s="6"/>
      <c r="B45" s="6">
        <v>5</v>
      </c>
      <c r="C45" s="13">
        <v>9.3800000000000008</v>
      </c>
      <c r="D45" s="13">
        <v>7.66</v>
      </c>
      <c r="E45" s="13">
        <v>8.07</v>
      </c>
      <c r="F45" s="13">
        <v>7.01</v>
      </c>
      <c r="G45" s="6"/>
      <c r="H45" s="6">
        <v>5</v>
      </c>
      <c r="I45" s="13">
        <v>13.25</v>
      </c>
      <c r="J45" s="13">
        <v>13.41</v>
      </c>
      <c r="K45" s="13">
        <v>11.4</v>
      </c>
      <c r="L45" s="13">
        <v>11.54</v>
      </c>
      <c r="M45" s="20"/>
      <c r="N45" s="20">
        <v>5</v>
      </c>
      <c r="O45" s="13">
        <f t="shared" si="21"/>
        <v>86.75</v>
      </c>
      <c r="P45" s="13">
        <f t="shared" si="18"/>
        <v>86.59</v>
      </c>
      <c r="Q45" s="13">
        <f t="shared" si="19"/>
        <v>88.6</v>
      </c>
      <c r="R45" s="13">
        <f t="shared" si="20"/>
        <v>88.460000000000008</v>
      </c>
      <c r="S45" s="15">
        <f t="shared" si="22"/>
        <v>87.6</v>
      </c>
      <c r="T45" s="6"/>
      <c r="U45" s="6">
        <v>5</v>
      </c>
      <c r="V45" s="13">
        <f t="shared" si="23"/>
        <v>7.3007733993683601</v>
      </c>
      <c r="W45" s="13">
        <f t="shared" si="24"/>
        <v>7.2873079959804778</v>
      </c>
      <c r="X45" s="13">
        <f t="shared" si="25"/>
        <v>7.3007733993683601</v>
      </c>
      <c r="Y45" s="13">
        <f t="shared" si="26"/>
        <v>7.4446848980763729</v>
      </c>
      <c r="Z45" s="15">
        <f t="shared" si="27"/>
        <v>7.333384923198393</v>
      </c>
      <c r="AA45" s="9"/>
      <c r="AB45" s="9"/>
    </row>
    <row r="46" spans="1:28" x14ac:dyDescent="0.35">
      <c r="A46" s="11" t="s">
        <v>13</v>
      </c>
      <c r="B46" s="6">
        <v>6</v>
      </c>
      <c r="C46" s="13">
        <v>9.76</v>
      </c>
      <c r="D46" s="13">
        <v>8.7799999999999994</v>
      </c>
      <c r="E46" s="13">
        <v>9.5399999999999991</v>
      </c>
      <c r="F46" s="13">
        <v>8.56</v>
      </c>
      <c r="G46" s="11" t="s">
        <v>13</v>
      </c>
      <c r="H46" s="6">
        <v>6</v>
      </c>
      <c r="I46" s="13">
        <v>12.63</v>
      </c>
      <c r="J46" s="13">
        <v>12.4</v>
      </c>
      <c r="K46" s="13">
        <v>11.53</v>
      </c>
      <c r="L46" s="13">
        <v>11.68</v>
      </c>
      <c r="M46" s="11" t="s">
        <v>13</v>
      </c>
      <c r="N46" s="20">
        <v>6</v>
      </c>
      <c r="O46" s="13">
        <f t="shared" si="21"/>
        <v>87.37</v>
      </c>
      <c r="P46" s="13">
        <f t="shared" si="18"/>
        <v>87.6</v>
      </c>
      <c r="Q46" s="13">
        <f t="shared" si="19"/>
        <v>88.47</v>
      </c>
      <c r="R46" s="13">
        <f t="shared" si="20"/>
        <v>88.32</v>
      </c>
      <c r="S46" s="15">
        <f t="shared" si="22"/>
        <v>87.94</v>
      </c>
      <c r="T46" s="11" t="s">
        <v>13</v>
      </c>
      <c r="U46" s="6">
        <v>6</v>
      </c>
      <c r="V46" s="13">
        <f t="shared" si="23"/>
        <v>7.6508326155612982</v>
      </c>
      <c r="W46" s="13">
        <f t="shared" si="24"/>
        <v>7.6709732988802735</v>
      </c>
      <c r="X46" s="13">
        <f t="shared" si="25"/>
        <v>7.6508326155612982</v>
      </c>
      <c r="Y46" s="13">
        <f t="shared" si="26"/>
        <v>7.7340223944875088</v>
      </c>
      <c r="Z46" s="15">
        <f t="shared" si="27"/>
        <v>7.6766652311225947</v>
      </c>
      <c r="AA46" s="9"/>
      <c r="AB46" s="9"/>
    </row>
    <row r="47" spans="1:28" x14ac:dyDescent="0.35">
      <c r="A47" s="6" t="s">
        <v>14</v>
      </c>
      <c r="B47" s="6">
        <v>7</v>
      </c>
      <c r="C47" s="13">
        <v>9.2200000000000006</v>
      </c>
      <c r="D47" s="13">
        <v>8.2799999999999994</v>
      </c>
      <c r="E47" s="13">
        <v>8.7200000000000006</v>
      </c>
      <c r="F47" s="13">
        <v>8.1300000000000008</v>
      </c>
      <c r="G47" s="6" t="s">
        <v>14</v>
      </c>
      <c r="H47" s="6">
        <v>7</v>
      </c>
      <c r="I47" s="13">
        <v>12.33</v>
      </c>
      <c r="J47" s="13">
        <v>12.41</v>
      </c>
      <c r="K47" s="13">
        <v>10.92</v>
      </c>
      <c r="L47" s="13">
        <v>11.01</v>
      </c>
      <c r="M47" s="20" t="s">
        <v>14</v>
      </c>
      <c r="N47" s="20">
        <v>7</v>
      </c>
      <c r="O47" s="13">
        <f t="shared" si="21"/>
        <v>87.67</v>
      </c>
      <c r="P47" s="13">
        <f t="shared" si="18"/>
        <v>87.59</v>
      </c>
      <c r="Q47" s="13">
        <f t="shared" si="19"/>
        <v>89.08</v>
      </c>
      <c r="R47" s="13">
        <f t="shared" si="20"/>
        <v>88.99</v>
      </c>
      <c r="S47" s="15">
        <f t="shared" si="22"/>
        <v>88.332499999999996</v>
      </c>
      <c r="T47" s="6" t="s">
        <v>14</v>
      </c>
      <c r="U47" s="6">
        <v>7</v>
      </c>
      <c r="V47" s="13">
        <f t="shared" si="23"/>
        <v>7.2523453201263273</v>
      </c>
      <c r="W47" s="13">
        <f t="shared" si="24"/>
        <v>7.2457274619580829</v>
      </c>
      <c r="X47" s="13">
        <f t="shared" si="25"/>
        <v>7.2523453201263273</v>
      </c>
      <c r="Y47" s="13">
        <f t="shared" si="26"/>
        <v>7.3615399799023828</v>
      </c>
      <c r="Z47" s="15">
        <f t="shared" si="27"/>
        <v>7.2779895205282799</v>
      </c>
      <c r="AA47" s="9"/>
      <c r="AB47" s="9"/>
    </row>
    <row r="48" spans="1:28" x14ac:dyDescent="0.35">
      <c r="A48" s="6"/>
      <c r="B48" s="6">
        <v>8</v>
      </c>
      <c r="C48" s="13">
        <v>8.2100000000000009</v>
      </c>
      <c r="D48" s="13">
        <v>8.35</v>
      </c>
      <c r="E48" s="13">
        <v>7.73</v>
      </c>
      <c r="F48" s="13">
        <v>7.36</v>
      </c>
      <c r="G48" s="6"/>
      <c r="H48" s="6">
        <v>8</v>
      </c>
      <c r="I48" s="13">
        <v>13.36</v>
      </c>
      <c r="J48" s="13">
        <v>12.95</v>
      </c>
      <c r="K48" s="13">
        <v>12.25</v>
      </c>
      <c r="L48" s="13">
        <v>12.06</v>
      </c>
      <c r="M48" s="20"/>
      <c r="N48" s="20">
        <v>8</v>
      </c>
      <c r="O48" s="13">
        <f t="shared" si="21"/>
        <v>86.64</v>
      </c>
      <c r="P48" s="13">
        <f t="shared" si="18"/>
        <v>87.05</v>
      </c>
      <c r="Q48" s="13">
        <f t="shared" si="19"/>
        <v>87.75</v>
      </c>
      <c r="R48" s="13">
        <f t="shared" si="20"/>
        <v>87.94</v>
      </c>
      <c r="S48" s="15">
        <f t="shared" si="22"/>
        <v>87.344999999999999</v>
      </c>
      <c r="T48" s="6"/>
      <c r="U48" s="6">
        <v>8</v>
      </c>
      <c r="V48" s="13">
        <f t="shared" si="23"/>
        <v>6.3820198105081829</v>
      </c>
      <c r="W48" s="13">
        <f t="shared" si="24"/>
        <v>6.4122209661211595</v>
      </c>
      <c r="X48" s="13">
        <f t="shared" si="25"/>
        <v>6.3820198105081829</v>
      </c>
      <c r="Y48" s="13">
        <f t="shared" si="26"/>
        <v>6.4777795722078668</v>
      </c>
      <c r="Z48" s="15">
        <f t="shared" si="27"/>
        <v>6.413510039836348</v>
      </c>
      <c r="AA48" s="9"/>
      <c r="AB48" s="9"/>
    </row>
    <row r="49" spans="1:28" x14ac:dyDescent="0.35">
      <c r="A49" s="6"/>
      <c r="B49" s="6">
        <v>9</v>
      </c>
      <c r="C49" s="13">
        <v>8.4600000000000009</v>
      </c>
      <c r="D49" s="13">
        <v>8.36</v>
      </c>
      <c r="E49" s="13">
        <v>8.7899999999999991</v>
      </c>
      <c r="F49" s="13">
        <v>7.86</v>
      </c>
      <c r="G49" s="6"/>
      <c r="H49" s="6">
        <v>9</v>
      </c>
      <c r="I49" s="13">
        <v>13.27</v>
      </c>
      <c r="J49" s="13">
        <v>13.55</v>
      </c>
      <c r="K49" s="13">
        <v>13.28</v>
      </c>
      <c r="L49" s="13">
        <v>12.35</v>
      </c>
      <c r="M49" s="20"/>
      <c r="N49" s="20">
        <v>9</v>
      </c>
      <c r="O49" s="13">
        <f t="shared" si="21"/>
        <v>86.73</v>
      </c>
      <c r="P49" s="13">
        <f t="shared" si="18"/>
        <v>86.45</v>
      </c>
      <c r="Q49" s="13">
        <f t="shared" si="19"/>
        <v>86.72</v>
      </c>
      <c r="R49" s="13">
        <f t="shared" si="20"/>
        <v>87.65</v>
      </c>
      <c r="S49" s="15">
        <f t="shared" si="22"/>
        <v>86.887499999999989</v>
      </c>
      <c r="T49" s="6"/>
      <c r="U49" s="6">
        <v>9</v>
      </c>
      <c r="V49" s="13">
        <f t="shared" si="23"/>
        <v>6.5831879844961252</v>
      </c>
      <c r="W49" s="13">
        <f t="shared" si="24"/>
        <v>6.5619347545219631</v>
      </c>
      <c r="X49" s="13">
        <f t="shared" si="25"/>
        <v>6.5831879844961252</v>
      </c>
      <c r="Y49" s="13">
        <f t="shared" si="26"/>
        <v>6.6530200258397931</v>
      </c>
      <c r="Z49" s="15">
        <f t="shared" si="27"/>
        <v>6.5953326873385016</v>
      </c>
      <c r="AA49" s="9"/>
      <c r="AB49" s="9"/>
    </row>
    <row r="50" spans="1:28" x14ac:dyDescent="0.35">
      <c r="A50" s="16"/>
      <c r="B50" s="6">
        <v>10</v>
      </c>
      <c r="C50" s="13">
        <v>8.94</v>
      </c>
      <c r="D50" s="13">
        <v>9.34</v>
      </c>
      <c r="E50" s="13">
        <v>9.11</v>
      </c>
      <c r="F50" s="13">
        <v>8.18</v>
      </c>
      <c r="G50" s="16"/>
      <c r="H50" s="6">
        <v>10</v>
      </c>
      <c r="I50" s="13">
        <v>12.28</v>
      </c>
      <c r="J50" s="13">
        <v>11.98</v>
      </c>
      <c r="K50" s="13">
        <v>11.4</v>
      </c>
      <c r="L50" s="13">
        <v>12.58</v>
      </c>
      <c r="M50" s="20"/>
      <c r="N50" s="20">
        <v>10</v>
      </c>
      <c r="O50" s="13">
        <f t="shared" si="21"/>
        <v>87.72</v>
      </c>
      <c r="P50" s="13">
        <f t="shared" si="18"/>
        <v>88.02</v>
      </c>
      <c r="Q50" s="13">
        <f t="shared" si="19"/>
        <v>88.6</v>
      </c>
      <c r="R50" s="13">
        <f t="shared" si="20"/>
        <v>87.42</v>
      </c>
      <c r="S50" s="15">
        <f t="shared" si="22"/>
        <v>87.940000000000012</v>
      </c>
      <c r="T50" s="6"/>
      <c r="U50" s="6">
        <v>10</v>
      </c>
      <c r="V50" s="13">
        <f t="shared" si="23"/>
        <v>7.0361111111111097</v>
      </c>
      <c r="W50" s="13">
        <f t="shared" si="24"/>
        <v>7.0601744186046496</v>
      </c>
      <c r="X50" s="13">
        <f t="shared" si="25"/>
        <v>7.0361111111111097</v>
      </c>
      <c r="Y50" s="13">
        <f t="shared" si="26"/>
        <v>7.0120478036175706</v>
      </c>
      <c r="Z50" s="15">
        <f t="shared" si="27"/>
        <v>7.0361111111111097</v>
      </c>
      <c r="AA50" s="9"/>
      <c r="AB50" s="9"/>
    </row>
    <row r="51" spans="1:28" x14ac:dyDescent="0.35">
      <c r="A51" s="6"/>
      <c r="B51" s="6">
        <v>11</v>
      </c>
      <c r="C51" s="13">
        <v>9.2899999999999991</v>
      </c>
      <c r="D51" s="13">
        <v>9.5</v>
      </c>
      <c r="E51" s="13">
        <v>9.6199999999999992</v>
      </c>
      <c r="F51" s="13">
        <v>7.12</v>
      </c>
      <c r="G51" s="6"/>
      <c r="H51" s="6">
        <v>11</v>
      </c>
      <c r="I51" s="13">
        <v>12.23</v>
      </c>
      <c r="J51" s="13">
        <v>12.1</v>
      </c>
      <c r="K51" s="13">
        <v>11.34</v>
      </c>
      <c r="L51" s="13">
        <v>11.36</v>
      </c>
      <c r="M51" s="20"/>
      <c r="N51" s="20">
        <v>11</v>
      </c>
      <c r="O51" s="13">
        <f t="shared" si="21"/>
        <v>87.77</v>
      </c>
      <c r="P51" s="13">
        <f t="shared" si="18"/>
        <v>87.9</v>
      </c>
      <c r="Q51" s="13">
        <f t="shared" si="19"/>
        <v>88.66</v>
      </c>
      <c r="R51" s="13">
        <f t="shared" si="20"/>
        <v>88.64</v>
      </c>
      <c r="S51" s="15">
        <f t="shared" si="22"/>
        <v>88.242500000000007</v>
      </c>
      <c r="T51" s="6"/>
      <c r="U51" s="6">
        <v>11</v>
      </c>
      <c r="V51" s="13">
        <f t="shared" si="23"/>
        <v>7.3157416379557825</v>
      </c>
      <c r="W51" s="13">
        <f t="shared" si="24"/>
        <v>7.3265773040482332</v>
      </c>
      <c r="X51" s="13">
        <f t="shared" si="25"/>
        <v>7.3157416379557825</v>
      </c>
      <c r="Y51" s="13">
        <f t="shared" si="26"/>
        <v>7.3882572494975571</v>
      </c>
      <c r="Z51" s="15">
        <f t="shared" si="27"/>
        <v>7.3365794573643388</v>
      </c>
      <c r="AA51" s="9"/>
      <c r="AB51" s="9"/>
    </row>
    <row r="52" spans="1:28" x14ac:dyDescent="0.35">
      <c r="A52" s="6"/>
      <c r="B52" s="6">
        <v>12</v>
      </c>
      <c r="C52" s="13">
        <v>8.6300000000000008</v>
      </c>
      <c r="D52" s="13">
        <v>9.8000000000000007</v>
      </c>
      <c r="E52" s="13">
        <v>8.1199999999999992</v>
      </c>
      <c r="F52" s="13">
        <v>8.32</v>
      </c>
      <c r="G52" s="6"/>
      <c r="H52" s="6">
        <v>12</v>
      </c>
      <c r="I52" s="13">
        <v>11.68</v>
      </c>
      <c r="J52" s="13">
        <v>11.67</v>
      </c>
      <c r="K52" s="13">
        <v>10.74</v>
      </c>
      <c r="L52" s="13">
        <v>10.55</v>
      </c>
      <c r="M52" s="20"/>
      <c r="N52" s="20">
        <v>12</v>
      </c>
      <c r="O52" s="13">
        <f t="shared" si="21"/>
        <v>88.32</v>
      </c>
      <c r="P52" s="13">
        <f t="shared" si="18"/>
        <v>88.33</v>
      </c>
      <c r="Q52" s="13">
        <f t="shared" si="19"/>
        <v>89.26</v>
      </c>
      <c r="R52" s="13">
        <f t="shared" si="20"/>
        <v>89.45</v>
      </c>
      <c r="S52" s="15">
        <f t="shared" si="22"/>
        <v>88.839999999999989</v>
      </c>
      <c r="T52" s="6"/>
      <c r="U52" s="6">
        <v>12</v>
      </c>
      <c r="V52" s="13">
        <f t="shared" si="23"/>
        <v>6.8385874246339364</v>
      </c>
      <c r="W52" s="13">
        <f t="shared" si="24"/>
        <v>6.8393617212173421</v>
      </c>
      <c r="X52" s="13">
        <f t="shared" si="25"/>
        <v>6.8385874246339364</v>
      </c>
      <c r="Y52" s="13">
        <f t="shared" si="26"/>
        <v>6.9260829385587144</v>
      </c>
      <c r="Z52" s="15">
        <f t="shared" si="27"/>
        <v>6.8606548772609823</v>
      </c>
      <c r="AA52" s="9"/>
      <c r="AB52" s="9"/>
    </row>
    <row r="53" spans="1:28" x14ac:dyDescent="0.35">
      <c r="A53" s="6"/>
      <c r="B53" s="6">
        <v>13</v>
      </c>
      <c r="C53" s="13">
        <v>7.67</v>
      </c>
      <c r="D53" s="13">
        <v>8.07</v>
      </c>
      <c r="E53" s="13">
        <v>7.69</v>
      </c>
      <c r="F53" s="13">
        <v>7.12</v>
      </c>
      <c r="G53" s="6"/>
      <c r="H53" s="6">
        <v>13</v>
      </c>
      <c r="I53" s="13">
        <v>12.23</v>
      </c>
      <c r="J53" s="13">
        <v>12</v>
      </c>
      <c r="K53" s="13">
        <v>11.1</v>
      </c>
      <c r="L53" s="13">
        <v>11.16</v>
      </c>
      <c r="M53" s="20"/>
      <c r="N53" s="20">
        <v>13</v>
      </c>
      <c r="O53" s="13">
        <f t="shared" si="21"/>
        <v>87.77</v>
      </c>
      <c r="P53" s="13">
        <f t="shared" si="18"/>
        <v>88</v>
      </c>
      <c r="Q53" s="13">
        <f t="shared" si="19"/>
        <v>88.9</v>
      </c>
      <c r="R53" s="13">
        <f t="shared" si="20"/>
        <v>88.84</v>
      </c>
      <c r="S53" s="15">
        <f t="shared" si="22"/>
        <v>88.377499999999998</v>
      </c>
      <c r="T53" s="6"/>
      <c r="U53" s="6">
        <v>13</v>
      </c>
      <c r="V53" s="13">
        <f t="shared" si="23"/>
        <v>6.0400148937697375</v>
      </c>
      <c r="W53" s="13">
        <f t="shared" si="24"/>
        <v>6.0558426643697958</v>
      </c>
      <c r="X53" s="13">
        <f t="shared" si="25"/>
        <v>6.0400148937697375</v>
      </c>
      <c r="Y53" s="13">
        <f t="shared" si="26"/>
        <v>6.1136484352569633</v>
      </c>
      <c r="Z53" s="15">
        <f t="shared" si="27"/>
        <v>6.0623802217915586</v>
      </c>
      <c r="AA53" s="9"/>
      <c r="AB53" s="9"/>
    </row>
    <row r="54" spans="1:28" x14ac:dyDescent="0.35">
      <c r="A54" s="6"/>
      <c r="B54" s="6">
        <v>14</v>
      </c>
      <c r="C54" s="13">
        <v>7.7</v>
      </c>
      <c r="D54" s="13">
        <v>9.06</v>
      </c>
      <c r="E54" s="13">
        <v>8.16</v>
      </c>
      <c r="F54" s="13">
        <v>7.52</v>
      </c>
      <c r="G54" s="6"/>
      <c r="H54" s="6">
        <v>14</v>
      </c>
      <c r="I54" s="13">
        <v>11.73</v>
      </c>
      <c r="J54" s="13">
        <v>11.48</v>
      </c>
      <c r="K54" s="13">
        <v>11.41</v>
      </c>
      <c r="L54" s="13">
        <v>11.1</v>
      </c>
      <c r="M54" s="20"/>
      <c r="N54" s="20">
        <v>14</v>
      </c>
      <c r="O54" s="13">
        <f t="shared" si="21"/>
        <v>88.27</v>
      </c>
      <c r="P54" s="13">
        <f t="shared" si="18"/>
        <v>88.52</v>
      </c>
      <c r="Q54" s="13">
        <f t="shared" si="19"/>
        <v>88.59</v>
      </c>
      <c r="R54" s="13">
        <f t="shared" si="20"/>
        <v>88.9</v>
      </c>
      <c r="S54" s="15">
        <f t="shared" si="22"/>
        <v>88.57</v>
      </c>
      <c r="T54" s="6"/>
      <c r="U54" s="6">
        <v>14</v>
      </c>
      <c r="V54" s="13">
        <f t="shared" si="23"/>
        <v>6.0981822423198384</v>
      </c>
      <c r="W54" s="13">
        <f t="shared" si="24"/>
        <v>6.1154536319265009</v>
      </c>
      <c r="X54" s="13">
        <f t="shared" si="25"/>
        <v>6.0981822423198384</v>
      </c>
      <c r="Y54" s="13">
        <f t="shared" si="26"/>
        <v>6.1417061441286247</v>
      </c>
      <c r="Z54" s="15">
        <f t="shared" si="27"/>
        <v>6.1133810651737015</v>
      </c>
      <c r="AA54" s="9"/>
      <c r="AB54" s="9"/>
    </row>
    <row r="55" spans="1:28" x14ac:dyDescent="0.35">
      <c r="A55" s="6"/>
      <c r="B55" s="6">
        <v>15</v>
      </c>
      <c r="C55" s="13">
        <v>7.93</v>
      </c>
      <c r="D55" s="13">
        <v>8.49</v>
      </c>
      <c r="E55" s="13">
        <v>7.71</v>
      </c>
      <c r="F55" s="13">
        <v>7.8</v>
      </c>
      <c r="G55" s="6"/>
      <c r="H55" s="6">
        <v>15</v>
      </c>
      <c r="I55" s="13">
        <v>12.04</v>
      </c>
      <c r="J55" s="13">
        <v>11.46</v>
      </c>
      <c r="K55" s="13">
        <v>11.37</v>
      </c>
      <c r="L55" s="13">
        <v>12.73</v>
      </c>
      <c r="M55" s="20"/>
      <c r="N55" s="20">
        <v>15</v>
      </c>
      <c r="O55" s="13">
        <f t="shared" si="21"/>
        <v>87.960000000000008</v>
      </c>
      <c r="P55" s="13">
        <f t="shared" si="18"/>
        <v>88.539999999999992</v>
      </c>
      <c r="Q55" s="13">
        <f t="shared" si="19"/>
        <v>88.63</v>
      </c>
      <c r="R55" s="13">
        <f t="shared" si="20"/>
        <v>87.27</v>
      </c>
      <c r="S55" s="15">
        <f t="shared" si="22"/>
        <v>88.1</v>
      </c>
      <c r="T55" s="6"/>
      <c r="U55" s="6">
        <v>15</v>
      </c>
      <c r="V55" s="13">
        <f t="shared" si="23"/>
        <v>6.2582795004306639</v>
      </c>
      <c r="W55" s="13">
        <f t="shared" si="24"/>
        <v>6.2995460091874813</v>
      </c>
      <c r="X55" s="13">
        <f t="shared" si="25"/>
        <v>6.2582795004306639</v>
      </c>
      <c r="Y55" s="13">
        <f t="shared" si="26"/>
        <v>6.2091865848406531</v>
      </c>
      <c r="Z55" s="15">
        <f t="shared" si="27"/>
        <v>6.2563228987223649</v>
      </c>
      <c r="AA55" s="9"/>
      <c r="AB55" s="9"/>
    </row>
    <row r="56" spans="1:28" x14ac:dyDescent="0.35">
      <c r="A56" s="6"/>
      <c r="B56" s="6"/>
      <c r="C56" s="13"/>
      <c r="D56" s="13"/>
      <c r="E56" s="13"/>
      <c r="F56" s="13"/>
      <c r="G56" s="6"/>
      <c r="H56" s="6"/>
      <c r="I56" s="13"/>
      <c r="J56" s="13"/>
      <c r="K56" s="13"/>
      <c r="L56" s="13"/>
      <c r="M56" s="20"/>
      <c r="N56" s="20"/>
      <c r="O56" s="13"/>
      <c r="P56" s="13"/>
      <c r="Q56" s="13"/>
      <c r="R56" s="13"/>
      <c r="S56" s="9"/>
      <c r="T56" s="6"/>
      <c r="U56" s="6"/>
      <c r="V56" s="13"/>
      <c r="W56" s="13"/>
      <c r="X56" s="13"/>
      <c r="Y56" s="13"/>
      <c r="Z56" s="9"/>
      <c r="AA56" s="9"/>
      <c r="AB56" s="9"/>
    </row>
    <row r="57" spans="1:28" x14ac:dyDescent="0.35">
      <c r="A57" s="6"/>
      <c r="B57" s="6"/>
      <c r="C57" s="6" t="s">
        <v>4</v>
      </c>
      <c r="D57" s="6" t="s">
        <v>5</v>
      </c>
      <c r="E57" s="6" t="s">
        <v>6</v>
      </c>
      <c r="F57" s="6" t="s">
        <v>7</v>
      </c>
      <c r="G57" s="6"/>
      <c r="H57" s="6"/>
      <c r="I57" s="6" t="s">
        <v>4</v>
      </c>
      <c r="J57" s="6" t="s">
        <v>5</v>
      </c>
      <c r="K57" s="6" t="s">
        <v>6</v>
      </c>
      <c r="L57" s="6" t="s">
        <v>7</v>
      </c>
      <c r="M57" s="20"/>
      <c r="N57" s="20"/>
      <c r="O57" s="20" t="s">
        <v>4</v>
      </c>
      <c r="P57" s="20" t="s">
        <v>5</v>
      </c>
      <c r="Q57" s="20" t="s">
        <v>6</v>
      </c>
      <c r="R57" s="20" t="s">
        <v>7</v>
      </c>
      <c r="S57" s="12" t="s">
        <v>8</v>
      </c>
      <c r="T57" s="6"/>
      <c r="U57" s="6"/>
      <c r="V57" s="6" t="s">
        <v>4</v>
      </c>
      <c r="W57" s="6" t="s">
        <v>5</v>
      </c>
      <c r="X57" s="6" t="s">
        <v>6</v>
      </c>
      <c r="Y57" s="6" t="s">
        <v>7</v>
      </c>
      <c r="Z57" s="12" t="s">
        <v>8</v>
      </c>
      <c r="AA57" s="9"/>
      <c r="AB57" s="9"/>
    </row>
    <row r="58" spans="1:28" x14ac:dyDescent="0.35">
      <c r="A58" s="6"/>
      <c r="B58" s="6">
        <v>1</v>
      </c>
      <c r="C58" s="13">
        <v>6.32</v>
      </c>
      <c r="D58" s="13">
        <v>6.13</v>
      </c>
      <c r="E58" s="13">
        <v>5.82</v>
      </c>
      <c r="F58" s="13">
        <v>6.71</v>
      </c>
      <c r="G58" s="6"/>
      <c r="H58" s="6">
        <v>1</v>
      </c>
      <c r="I58" s="13">
        <v>11.42</v>
      </c>
      <c r="J58" s="13">
        <v>12.04</v>
      </c>
      <c r="K58" s="13">
        <v>12</v>
      </c>
      <c r="L58" s="13">
        <v>12.52</v>
      </c>
      <c r="M58" s="20"/>
      <c r="N58" s="20">
        <v>1</v>
      </c>
      <c r="O58" s="13">
        <f>+(100-I58)</f>
        <v>88.58</v>
      </c>
      <c r="P58" s="13">
        <f t="shared" ref="P58:P72" si="28">+(100-J58)</f>
        <v>87.960000000000008</v>
      </c>
      <c r="Q58" s="13">
        <f t="shared" ref="Q58:Q72" si="29">+(100-K58)</f>
        <v>88</v>
      </c>
      <c r="R58" s="13">
        <f t="shared" ref="R58:R72" si="30">+(100-L58)</f>
        <v>87.48</v>
      </c>
      <c r="S58" s="15">
        <f>AVERAGE(O58:R58)</f>
        <v>88.00500000000001</v>
      </c>
      <c r="T58" s="6"/>
      <c r="U58" s="6">
        <v>1</v>
      </c>
      <c r="V58" s="13">
        <f>+(((C58*O58)/86)/12.96)*10</f>
        <v>5.022839506172839</v>
      </c>
      <c r="W58" s="13">
        <f>+(((C58*P58)/86)/12.96)*10</f>
        <v>4.9876830318690786</v>
      </c>
      <c r="X58" s="13">
        <f>+(((C58*O58)/86)/12.96)*10</f>
        <v>5.022839506172839</v>
      </c>
      <c r="Y58" s="13">
        <f>+(((C58*R58)/86)/12.96)*10</f>
        <v>4.9604651162790692</v>
      </c>
      <c r="Z58" s="15">
        <f>AVERAGE(V58:Y58)</f>
        <v>4.9984567901234573</v>
      </c>
      <c r="AA58" s="9"/>
      <c r="AB58" s="9"/>
    </row>
    <row r="59" spans="1:28" x14ac:dyDescent="0.35">
      <c r="A59" s="6"/>
      <c r="B59" s="6">
        <v>2</v>
      </c>
      <c r="C59" s="13">
        <v>7.89</v>
      </c>
      <c r="D59" s="13">
        <v>7.17</v>
      </c>
      <c r="E59" s="13">
        <v>8.0500000000000007</v>
      </c>
      <c r="F59" s="13">
        <v>6.91</v>
      </c>
      <c r="G59" s="6"/>
      <c r="H59" s="6">
        <v>2</v>
      </c>
      <c r="I59" s="13">
        <v>13.1</v>
      </c>
      <c r="J59" s="13">
        <v>13.18</v>
      </c>
      <c r="K59" s="13">
        <v>10.54</v>
      </c>
      <c r="L59" s="13">
        <v>10.74</v>
      </c>
      <c r="M59" s="20"/>
      <c r="N59" s="20">
        <v>2</v>
      </c>
      <c r="O59" s="13">
        <f t="shared" ref="O59:O72" si="31">+(100-I59)</f>
        <v>86.9</v>
      </c>
      <c r="P59" s="13">
        <f t="shared" si="28"/>
        <v>86.82</v>
      </c>
      <c r="Q59" s="13">
        <f t="shared" si="29"/>
        <v>89.460000000000008</v>
      </c>
      <c r="R59" s="13">
        <f t="shared" si="30"/>
        <v>89.26</v>
      </c>
      <c r="S59" s="15">
        <f t="shared" ref="S59:S72" si="32">AVERAGE(O59:R59)</f>
        <v>88.11</v>
      </c>
      <c r="T59" s="6"/>
      <c r="U59" s="6">
        <v>2</v>
      </c>
      <c r="V59" s="13">
        <f t="shared" ref="V59:V72" si="33">+(((C59*O59)/86)/12.96)*10</f>
        <v>6.15167420327304</v>
      </c>
      <c r="W59" s="13">
        <f t="shared" ref="W59:W72" si="34">+(((C59*P59)/86)/12.96)*10</f>
        <v>6.1460109819121431</v>
      </c>
      <c r="X59" s="13">
        <f t="shared" ref="X59:X72" si="35">+(((C59*O59)/86)/12.96)*10</f>
        <v>6.15167420327304</v>
      </c>
      <c r="Y59" s="13">
        <f t="shared" ref="Y59:Y72" si="36">+(((C59*R59)/86)/12.96)*10</f>
        <v>6.3187392334194659</v>
      </c>
      <c r="Z59" s="15">
        <f t="shared" ref="Z59:Z72" si="37">AVERAGE(V59:Y59)</f>
        <v>6.1920246554694227</v>
      </c>
      <c r="AA59" s="9"/>
      <c r="AB59" s="9"/>
    </row>
    <row r="60" spans="1:28" x14ac:dyDescent="0.35">
      <c r="A60" s="6"/>
      <c r="B60" s="6">
        <v>3</v>
      </c>
      <c r="C60" s="13">
        <v>7.78</v>
      </c>
      <c r="D60" s="13">
        <v>7.61</v>
      </c>
      <c r="E60" s="13">
        <v>7.4</v>
      </c>
      <c r="F60" s="13">
        <v>7.47</v>
      </c>
      <c r="G60" s="6"/>
      <c r="H60" s="6">
        <v>3</v>
      </c>
      <c r="I60" s="13">
        <v>12.19</v>
      </c>
      <c r="J60" s="13">
        <v>12.02</v>
      </c>
      <c r="K60" s="13">
        <v>10.77</v>
      </c>
      <c r="L60" s="13">
        <v>11.47</v>
      </c>
      <c r="M60" s="20"/>
      <c r="N60" s="20">
        <v>3</v>
      </c>
      <c r="O60" s="13">
        <f t="shared" si="31"/>
        <v>87.81</v>
      </c>
      <c r="P60" s="13">
        <f t="shared" si="28"/>
        <v>87.98</v>
      </c>
      <c r="Q60" s="13">
        <f t="shared" si="29"/>
        <v>89.23</v>
      </c>
      <c r="R60" s="13">
        <f t="shared" si="30"/>
        <v>88.53</v>
      </c>
      <c r="S60" s="15">
        <f t="shared" si="32"/>
        <v>88.387500000000017</v>
      </c>
      <c r="T60" s="6"/>
      <c r="U60" s="6">
        <v>3</v>
      </c>
      <c r="V60" s="13">
        <f t="shared" si="33"/>
        <v>6.1294304478897512</v>
      </c>
      <c r="W60" s="13">
        <f t="shared" si="34"/>
        <v>6.1412970140683321</v>
      </c>
      <c r="X60" s="13">
        <f t="shared" si="35"/>
        <v>6.1294304478897512</v>
      </c>
      <c r="Y60" s="13">
        <f t="shared" si="36"/>
        <v>6.1796888458225663</v>
      </c>
      <c r="Z60" s="15">
        <f t="shared" si="37"/>
        <v>6.1449616889176006</v>
      </c>
      <c r="AA60" s="9"/>
      <c r="AB60" s="9"/>
    </row>
    <row r="61" spans="1:28" x14ac:dyDescent="0.35">
      <c r="A61" s="6"/>
      <c r="B61" s="6">
        <v>4</v>
      </c>
      <c r="C61" s="13">
        <v>10.08</v>
      </c>
      <c r="D61" s="13">
        <v>9.73</v>
      </c>
      <c r="E61" s="13">
        <v>8.25</v>
      </c>
      <c r="F61" s="13">
        <v>8.8699999999999992</v>
      </c>
      <c r="G61" s="6"/>
      <c r="H61" s="6">
        <v>4</v>
      </c>
      <c r="I61" s="13">
        <v>12.55</v>
      </c>
      <c r="J61" s="13">
        <v>12.7</v>
      </c>
      <c r="K61" s="13">
        <v>11.07</v>
      </c>
      <c r="L61" s="13">
        <v>11.69</v>
      </c>
      <c r="M61" s="20"/>
      <c r="N61" s="20">
        <v>4</v>
      </c>
      <c r="O61" s="13">
        <f t="shared" si="31"/>
        <v>87.45</v>
      </c>
      <c r="P61" s="13">
        <f t="shared" si="28"/>
        <v>87.3</v>
      </c>
      <c r="Q61" s="13">
        <f t="shared" si="29"/>
        <v>88.93</v>
      </c>
      <c r="R61" s="13">
        <f t="shared" si="30"/>
        <v>88.31</v>
      </c>
      <c r="S61" s="15">
        <f t="shared" si="32"/>
        <v>87.997500000000002</v>
      </c>
      <c r="T61" s="6"/>
      <c r="U61" s="6">
        <v>4</v>
      </c>
      <c r="V61" s="13">
        <f t="shared" si="33"/>
        <v>7.908914728682169</v>
      </c>
      <c r="W61" s="13">
        <f t="shared" si="34"/>
        <v>7.8953488372093004</v>
      </c>
      <c r="X61" s="13">
        <f t="shared" si="35"/>
        <v>7.908914728682169</v>
      </c>
      <c r="Y61" s="13">
        <f t="shared" si="36"/>
        <v>7.9866925064599483</v>
      </c>
      <c r="Z61" s="15">
        <f t="shared" si="37"/>
        <v>7.9249677002583967</v>
      </c>
      <c r="AA61" s="9"/>
      <c r="AB61" s="9"/>
    </row>
    <row r="62" spans="1:28" x14ac:dyDescent="0.35">
      <c r="A62" s="6"/>
      <c r="B62" s="6">
        <v>5</v>
      </c>
      <c r="C62" s="13">
        <v>8.3000000000000007</v>
      </c>
      <c r="D62" s="13">
        <v>8</v>
      </c>
      <c r="E62" s="13">
        <v>7.57</v>
      </c>
      <c r="F62" s="13">
        <v>8.0500000000000007</v>
      </c>
      <c r="G62" s="6"/>
      <c r="H62" s="6">
        <v>5</v>
      </c>
      <c r="I62" s="13">
        <v>12.36</v>
      </c>
      <c r="J62" s="13">
        <v>11.95</v>
      </c>
      <c r="K62" s="13">
        <v>11.17</v>
      </c>
      <c r="L62" s="13">
        <v>11.36</v>
      </c>
      <c r="M62" s="20"/>
      <c r="N62" s="20">
        <v>5</v>
      </c>
      <c r="O62" s="13">
        <f t="shared" si="31"/>
        <v>87.64</v>
      </c>
      <c r="P62" s="13">
        <f t="shared" si="28"/>
        <v>88.05</v>
      </c>
      <c r="Q62" s="13">
        <f t="shared" si="29"/>
        <v>88.83</v>
      </c>
      <c r="R62" s="13">
        <f t="shared" si="30"/>
        <v>88.64</v>
      </c>
      <c r="S62" s="15">
        <f t="shared" si="32"/>
        <v>88.289999999999992</v>
      </c>
      <c r="T62" s="6"/>
      <c r="U62" s="6">
        <v>5</v>
      </c>
      <c r="V62" s="13">
        <f t="shared" si="33"/>
        <v>6.5264498995119151</v>
      </c>
      <c r="W62" s="13">
        <f t="shared" si="34"/>
        <v>6.5569821274763127</v>
      </c>
      <c r="X62" s="13">
        <f t="shared" si="35"/>
        <v>6.5264498995119151</v>
      </c>
      <c r="Y62" s="13">
        <f t="shared" si="36"/>
        <v>6.6009187482055705</v>
      </c>
      <c r="Z62" s="15">
        <f t="shared" si="37"/>
        <v>6.552700168676429</v>
      </c>
      <c r="AA62" s="9"/>
      <c r="AB62" s="9"/>
    </row>
    <row r="63" spans="1:28" x14ac:dyDescent="0.35">
      <c r="A63" s="11" t="s">
        <v>15</v>
      </c>
      <c r="B63" s="6">
        <v>6</v>
      </c>
      <c r="C63" s="13">
        <v>9.6300000000000008</v>
      </c>
      <c r="D63" s="13">
        <v>9.18</v>
      </c>
      <c r="E63" s="13">
        <v>8.5</v>
      </c>
      <c r="F63" s="13">
        <v>8.08</v>
      </c>
      <c r="G63" s="11" t="s">
        <v>15</v>
      </c>
      <c r="H63" s="6">
        <v>6</v>
      </c>
      <c r="I63" s="13">
        <v>13.46</v>
      </c>
      <c r="J63" s="13">
        <v>11.59</v>
      </c>
      <c r="K63" s="13">
        <v>10.85</v>
      </c>
      <c r="L63" s="13">
        <v>12.48</v>
      </c>
      <c r="M63" s="11" t="s">
        <v>15</v>
      </c>
      <c r="N63" s="20">
        <v>6</v>
      </c>
      <c r="O63" s="13">
        <f t="shared" si="31"/>
        <v>86.539999999999992</v>
      </c>
      <c r="P63" s="13">
        <f t="shared" si="28"/>
        <v>88.41</v>
      </c>
      <c r="Q63" s="13">
        <f t="shared" si="29"/>
        <v>89.15</v>
      </c>
      <c r="R63" s="13">
        <f t="shared" si="30"/>
        <v>87.52</v>
      </c>
      <c r="S63" s="15">
        <f t="shared" si="32"/>
        <v>87.905000000000001</v>
      </c>
      <c r="T63" s="11" t="s">
        <v>15</v>
      </c>
      <c r="U63" s="6">
        <v>6</v>
      </c>
      <c r="V63" s="13">
        <f t="shared" si="33"/>
        <v>7.4772125322997409</v>
      </c>
      <c r="W63" s="13">
        <f t="shared" si="34"/>
        <v>7.6387839147286822</v>
      </c>
      <c r="X63" s="13">
        <f t="shared" si="35"/>
        <v>7.4772125322997409</v>
      </c>
      <c r="Y63" s="13">
        <f t="shared" si="36"/>
        <v>7.561886304909561</v>
      </c>
      <c r="Z63" s="15">
        <f t="shared" si="37"/>
        <v>7.5387738210594311</v>
      </c>
      <c r="AA63" s="9"/>
      <c r="AB63" s="9"/>
    </row>
    <row r="64" spans="1:28" x14ac:dyDescent="0.35">
      <c r="A64" s="6" t="s">
        <v>16</v>
      </c>
      <c r="B64" s="6">
        <v>7</v>
      </c>
      <c r="C64" s="13">
        <v>8.8800000000000008</v>
      </c>
      <c r="D64" s="13">
        <v>8.1300000000000008</v>
      </c>
      <c r="E64" s="13">
        <v>8.6999999999999993</v>
      </c>
      <c r="F64" s="13">
        <v>9.1999999999999993</v>
      </c>
      <c r="G64" s="6" t="s">
        <v>16</v>
      </c>
      <c r="H64" s="6">
        <v>7</v>
      </c>
      <c r="I64" s="13">
        <v>12.46</v>
      </c>
      <c r="J64" s="13">
        <v>11.51</v>
      </c>
      <c r="K64" s="13">
        <v>11.87</v>
      </c>
      <c r="L64" s="13">
        <v>11.04</v>
      </c>
      <c r="M64" s="20" t="s">
        <v>16</v>
      </c>
      <c r="N64" s="20">
        <v>7</v>
      </c>
      <c r="O64" s="13">
        <f t="shared" si="31"/>
        <v>87.539999999999992</v>
      </c>
      <c r="P64" s="13">
        <f t="shared" si="28"/>
        <v>88.49</v>
      </c>
      <c r="Q64" s="13">
        <f t="shared" si="29"/>
        <v>88.13</v>
      </c>
      <c r="R64" s="13">
        <f t="shared" si="30"/>
        <v>88.960000000000008</v>
      </c>
      <c r="S64" s="15">
        <f t="shared" si="32"/>
        <v>88.28</v>
      </c>
      <c r="T64" s="6" t="s">
        <v>16</v>
      </c>
      <c r="U64" s="6">
        <v>7</v>
      </c>
      <c r="V64" s="13">
        <f t="shared" si="33"/>
        <v>6.9745478036175701</v>
      </c>
      <c r="W64" s="13">
        <f t="shared" si="34"/>
        <v>7.0502368647717475</v>
      </c>
      <c r="X64" s="13">
        <f t="shared" si="35"/>
        <v>6.9745478036175701</v>
      </c>
      <c r="Y64" s="13">
        <f t="shared" si="36"/>
        <v>7.08768303186908</v>
      </c>
      <c r="Z64" s="15">
        <f t="shared" si="37"/>
        <v>7.0217538759689919</v>
      </c>
      <c r="AA64" s="9"/>
      <c r="AB64" s="9"/>
    </row>
    <row r="65" spans="1:28" x14ac:dyDescent="0.35">
      <c r="A65" s="6"/>
      <c r="B65" s="6">
        <v>8</v>
      </c>
      <c r="C65" s="13">
        <v>9.1300000000000008</v>
      </c>
      <c r="D65" s="13">
        <v>8.4700000000000006</v>
      </c>
      <c r="E65" s="13">
        <v>8.2100000000000009</v>
      </c>
      <c r="F65" s="13">
        <v>7.47</v>
      </c>
      <c r="G65" s="6"/>
      <c r="H65" s="6">
        <v>8</v>
      </c>
      <c r="I65" s="13">
        <v>13.02</v>
      </c>
      <c r="J65" s="13">
        <v>13.07</v>
      </c>
      <c r="K65" s="13">
        <v>12.34</v>
      </c>
      <c r="L65" s="13">
        <v>11.8</v>
      </c>
      <c r="M65" s="20"/>
      <c r="N65" s="20">
        <v>8</v>
      </c>
      <c r="O65" s="13">
        <f t="shared" si="31"/>
        <v>86.98</v>
      </c>
      <c r="P65" s="13">
        <f t="shared" si="28"/>
        <v>86.93</v>
      </c>
      <c r="Q65" s="13">
        <f t="shared" si="29"/>
        <v>87.66</v>
      </c>
      <c r="R65" s="13">
        <f t="shared" si="30"/>
        <v>88.2</v>
      </c>
      <c r="S65" s="15">
        <f t="shared" si="32"/>
        <v>87.44250000000001</v>
      </c>
      <c r="T65" s="6"/>
      <c r="U65" s="6">
        <v>8</v>
      </c>
      <c r="V65" s="13">
        <f t="shared" si="33"/>
        <v>7.1250305053115142</v>
      </c>
      <c r="W65" s="13">
        <f t="shared" si="34"/>
        <v>7.1209347186333618</v>
      </c>
      <c r="X65" s="13">
        <f t="shared" si="35"/>
        <v>7.1250305053115142</v>
      </c>
      <c r="Y65" s="13">
        <f t="shared" si="36"/>
        <v>7.2249677002583983</v>
      </c>
      <c r="Z65" s="15">
        <f t="shared" si="37"/>
        <v>7.1489908573786973</v>
      </c>
      <c r="AA65" s="9"/>
      <c r="AB65" s="9"/>
    </row>
    <row r="66" spans="1:28" x14ac:dyDescent="0.35">
      <c r="A66" s="6"/>
      <c r="B66" s="6">
        <v>9</v>
      </c>
      <c r="C66" s="13">
        <v>9.19</v>
      </c>
      <c r="D66" s="13">
        <v>8.14</v>
      </c>
      <c r="E66" s="13">
        <v>8.43</v>
      </c>
      <c r="F66" s="13">
        <v>9.25</v>
      </c>
      <c r="G66" s="6"/>
      <c r="H66" s="6">
        <v>9</v>
      </c>
      <c r="I66" s="13">
        <v>13.22</v>
      </c>
      <c r="J66" s="13">
        <v>12.71</v>
      </c>
      <c r="K66" s="13">
        <v>13.42</v>
      </c>
      <c r="L66" s="13">
        <v>12.31</v>
      </c>
      <c r="M66" s="20"/>
      <c r="N66" s="20">
        <v>9</v>
      </c>
      <c r="O66" s="13">
        <f t="shared" si="31"/>
        <v>86.78</v>
      </c>
      <c r="P66" s="13">
        <f t="shared" si="28"/>
        <v>87.289999999999992</v>
      </c>
      <c r="Q66" s="13">
        <f t="shared" si="29"/>
        <v>86.58</v>
      </c>
      <c r="R66" s="13">
        <f t="shared" si="30"/>
        <v>87.69</v>
      </c>
      <c r="S66" s="15">
        <f t="shared" si="32"/>
        <v>87.084999999999994</v>
      </c>
      <c r="T66" s="6"/>
      <c r="U66" s="6">
        <v>9</v>
      </c>
      <c r="V66" s="13">
        <f t="shared" si="33"/>
        <v>7.1553635515360323</v>
      </c>
      <c r="W66" s="13">
        <f t="shared" si="34"/>
        <v>7.1974151234567891</v>
      </c>
      <c r="X66" s="13">
        <f t="shared" si="35"/>
        <v>7.1553635515360323</v>
      </c>
      <c r="Y66" s="13">
        <f t="shared" si="36"/>
        <v>7.2303967484926766</v>
      </c>
      <c r="Z66" s="15">
        <f t="shared" si="37"/>
        <v>7.1846347437553826</v>
      </c>
      <c r="AA66" s="9"/>
      <c r="AB66" s="9"/>
    </row>
    <row r="67" spans="1:28" x14ac:dyDescent="0.35">
      <c r="A67" s="6"/>
      <c r="B67" s="6">
        <v>10</v>
      </c>
      <c r="C67" s="13">
        <v>9.8000000000000007</v>
      </c>
      <c r="D67" s="13">
        <v>9.33</v>
      </c>
      <c r="E67" s="13">
        <v>9.76</v>
      </c>
      <c r="F67" s="13">
        <v>8.3800000000000008</v>
      </c>
      <c r="G67" s="6"/>
      <c r="H67" s="6">
        <v>10</v>
      </c>
      <c r="I67" s="13">
        <v>11.84</v>
      </c>
      <c r="J67" s="13">
        <v>11.48</v>
      </c>
      <c r="K67" s="13">
        <v>11.51</v>
      </c>
      <c r="L67" s="13">
        <v>12.38</v>
      </c>
      <c r="M67" s="20"/>
      <c r="N67" s="20">
        <v>10</v>
      </c>
      <c r="O67" s="13">
        <f t="shared" si="31"/>
        <v>88.16</v>
      </c>
      <c r="P67" s="13">
        <f t="shared" si="28"/>
        <v>88.52</v>
      </c>
      <c r="Q67" s="13">
        <f t="shared" si="29"/>
        <v>88.49</v>
      </c>
      <c r="R67" s="13">
        <f t="shared" si="30"/>
        <v>87.62</v>
      </c>
      <c r="S67" s="15">
        <f t="shared" si="32"/>
        <v>88.197500000000005</v>
      </c>
      <c r="T67" s="6"/>
      <c r="U67" s="6">
        <v>10</v>
      </c>
      <c r="V67" s="13">
        <f t="shared" si="33"/>
        <v>7.751650875681884</v>
      </c>
      <c r="W67" s="13">
        <f t="shared" si="34"/>
        <v>7.7833046224519089</v>
      </c>
      <c r="X67" s="13">
        <f t="shared" si="35"/>
        <v>7.751650875681884</v>
      </c>
      <c r="Y67" s="13">
        <f t="shared" si="36"/>
        <v>7.7041702555268454</v>
      </c>
      <c r="Z67" s="15">
        <f t="shared" si="37"/>
        <v>7.7476941573356317</v>
      </c>
      <c r="AA67" s="9"/>
      <c r="AB67" s="9"/>
    </row>
    <row r="68" spans="1:28" x14ac:dyDescent="0.35">
      <c r="A68" s="6"/>
      <c r="B68" s="6">
        <v>11</v>
      </c>
      <c r="C68" s="13">
        <v>9.4700000000000006</v>
      </c>
      <c r="D68" s="13">
        <v>8.7100000000000009</v>
      </c>
      <c r="E68" s="13">
        <v>9.1</v>
      </c>
      <c r="F68" s="13">
        <v>8.6</v>
      </c>
      <c r="G68" s="6"/>
      <c r="H68" s="6">
        <v>11</v>
      </c>
      <c r="I68" s="13">
        <v>11.77</v>
      </c>
      <c r="J68" s="13">
        <v>11.13</v>
      </c>
      <c r="K68" s="13">
        <v>10.82</v>
      </c>
      <c r="L68" s="13">
        <v>11.3</v>
      </c>
      <c r="M68" s="20"/>
      <c r="N68" s="20">
        <v>11</v>
      </c>
      <c r="O68" s="13">
        <f t="shared" si="31"/>
        <v>88.23</v>
      </c>
      <c r="P68" s="13">
        <f t="shared" si="28"/>
        <v>88.87</v>
      </c>
      <c r="Q68" s="13">
        <f t="shared" si="29"/>
        <v>89.18</v>
      </c>
      <c r="R68" s="13">
        <f t="shared" si="30"/>
        <v>88.7</v>
      </c>
      <c r="S68" s="15">
        <f t="shared" si="32"/>
        <v>88.745000000000005</v>
      </c>
      <c r="T68" s="6"/>
      <c r="U68" s="6">
        <v>11</v>
      </c>
      <c r="V68" s="13">
        <f t="shared" si="33"/>
        <v>7.496573535745048</v>
      </c>
      <c r="W68" s="13">
        <f t="shared" si="34"/>
        <v>7.5509519451622165</v>
      </c>
      <c r="X68" s="13">
        <f t="shared" si="35"/>
        <v>7.496573535745048</v>
      </c>
      <c r="Y68" s="13">
        <f t="shared" si="36"/>
        <v>7.5365076801607813</v>
      </c>
      <c r="Z68" s="15">
        <f t="shared" si="37"/>
        <v>7.520151674203273</v>
      </c>
      <c r="AA68" s="9"/>
      <c r="AB68" s="9"/>
    </row>
    <row r="69" spans="1:28" x14ac:dyDescent="0.35">
      <c r="A69" s="6"/>
      <c r="B69" s="6">
        <v>12</v>
      </c>
      <c r="C69" s="13">
        <v>9.39</v>
      </c>
      <c r="D69" s="13">
        <v>8.39</v>
      </c>
      <c r="E69" s="13">
        <v>9.1300000000000008</v>
      </c>
      <c r="F69" s="13">
        <v>8.68</v>
      </c>
      <c r="G69" s="6"/>
      <c r="H69" s="6">
        <v>12</v>
      </c>
      <c r="I69" s="13">
        <v>11.63</v>
      </c>
      <c r="J69" s="13">
        <v>11.22</v>
      </c>
      <c r="K69" s="13">
        <v>11</v>
      </c>
      <c r="L69" s="13">
        <v>10.44</v>
      </c>
      <c r="M69" s="20"/>
      <c r="N69" s="20">
        <v>12</v>
      </c>
      <c r="O69" s="13">
        <f t="shared" si="31"/>
        <v>88.37</v>
      </c>
      <c r="P69" s="13">
        <f t="shared" si="28"/>
        <v>88.78</v>
      </c>
      <c r="Q69" s="13">
        <f t="shared" si="29"/>
        <v>89</v>
      </c>
      <c r="R69" s="13">
        <f t="shared" si="30"/>
        <v>89.56</v>
      </c>
      <c r="S69" s="15">
        <f t="shared" si="32"/>
        <v>88.927499999999995</v>
      </c>
      <c r="T69" s="6"/>
      <c r="U69" s="6">
        <v>12</v>
      </c>
      <c r="V69" s="13">
        <f t="shared" si="33"/>
        <v>7.4450392980189504</v>
      </c>
      <c r="W69" s="13">
        <f t="shared" si="34"/>
        <v>7.4795811800172265</v>
      </c>
      <c r="X69" s="13">
        <f t="shared" si="35"/>
        <v>7.4450392980189504</v>
      </c>
      <c r="Y69" s="13">
        <f t="shared" si="36"/>
        <v>7.5452950043066327</v>
      </c>
      <c r="Z69" s="15">
        <f t="shared" si="37"/>
        <v>7.4787386950904402</v>
      </c>
      <c r="AA69" s="9"/>
      <c r="AB69" s="9"/>
    </row>
    <row r="70" spans="1:28" x14ac:dyDescent="0.35">
      <c r="A70" s="6"/>
      <c r="B70" s="6">
        <v>13</v>
      </c>
      <c r="C70" s="13">
        <v>7.62</v>
      </c>
      <c r="D70" s="13">
        <v>7.67</v>
      </c>
      <c r="E70" s="13">
        <v>7.67</v>
      </c>
      <c r="F70" s="13">
        <v>8.66</v>
      </c>
      <c r="G70" s="6"/>
      <c r="H70" s="6">
        <v>13</v>
      </c>
      <c r="I70" s="13">
        <v>11.54</v>
      </c>
      <c r="J70" s="13">
        <v>11.27</v>
      </c>
      <c r="K70" s="13">
        <v>10.9</v>
      </c>
      <c r="L70" s="13">
        <v>11.39</v>
      </c>
      <c r="M70" s="20"/>
      <c r="N70" s="20">
        <v>13</v>
      </c>
      <c r="O70" s="13">
        <f t="shared" si="31"/>
        <v>88.460000000000008</v>
      </c>
      <c r="P70" s="13">
        <f t="shared" si="28"/>
        <v>88.73</v>
      </c>
      <c r="Q70" s="13">
        <f t="shared" si="29"/>
        <v>89.1</v>
      </c>
      <c r="R70" s="13">
        <f t="shared" si="30"/>
        <v>88.61</v>
      </c>
      <c r="S70" s="15">
        <f t="shared" si="32"/>
        <v>88.724999999999994</v>
      </c>
      <c r="T70" s="6"/>
      <c r="U70" s="6">
        <v>13</v>
      </c>
      <c r="V70" s="13">
        <f t="shared" si="33"/>
        <v>6.0478143841515939</v>
      </c>
      <c r="W70" s="13">
        <f t="shared" si="34"/>
        <v>6.0662736864771745</v>
      </c>
      <c r="X70" s="13">
        <f t="shared" si="35"/>
        <v>6.0478143841515939</v>
      </c>
      <c r="Y70" s="13">
        <f t="shared" si="36"/>
        <v>6.0580695521102488</v>
      </c>
      <c r="Z70" s="15">
        <f t="shared" si="37"/>
        <v>6.0549930017226519</v>
      </c>
      <c r="AA70" s="9"/>
      <c r="AB70" s="9"/>
    </row>
    <row r="71" spans="1:28" x14ac:dyDescent="0.35">
      <c r="A71" s="6"/>
      <c r="B71" s="6">
        <v>14</v>
      </c>
      <c r="C71" s="13">
        <v>8.5299999999999994</v>
      </c>
      <c r="D71" s="13">
        <v>9.1999999999999993</v>
      </c>
      <c r="E71" s="13">
        <v>8.48</v>
      </c>
      <c r="F71" s="13">
        <v>7.94</v>
      </c>
      <c r="G71" s="6"/>
      <c r="H71" s="6">
        <v>14</v>
      </c>
      <c r="I71" s="13">
        <v>11.28</v>
      </c>
      <c r="J71" s="13">
        <v>11.1</v>
      </c>
      <c r="K71" s="13">
        <v>11.15</v>
      </c>
      <c r="L71" s="13">
        <v>11.36</v>
      </c>
      <c r="M71" s="20"/>
      <c r="N71" s="20">
        <v>14</v>
      </c>
      <c r="O71" s="13">
        <f t="shared" si="31"/>
        <v>88.72</v>
      </c>
      <c r="P71" s="13">
        <f t="shared" si="28"/>
        <v>88.9</v>
      </c>
      <c r="Q71" s="13">
        <f t="shared" si="29"/>
        <v>88.85</v>
      </c>
      <c r="R71" s="13">
        <f t="shared" si="30"/>
        <v>88.64</v>
      </c>
      <c r="S71" s="15">
        <f t="shared" si="32"/>
        <v>88.777500000000003</v>
      </c>
      <c r="T71" s="6"/>
      <c r="U71" s="6">
        <v>14</v>
      </c>
      <c r="V71" s="13">
        <f t="shared" si="33"/>
        <v>6.7899583692219343</v>
      </c>
      <c r="W71" s="13">
        <f t="shared" si="34"/>
        <v>6.8037342090152162</v>
      </c>
      <c r="X71" s="13">
        <f t="shared" si="35"/>
        <v>6.7899583692219343</v>
      </c>
      <c r="Y71" s="13">
        <f t="shared" si="36"/>
        <v>6.7838357737582546</v>
      </c>
      <c r="Z71" s="15">
        <f t="shared" si="37"/>
        <v>6.7918716803043351</v>
      </c>
      <c r="AA71" s="9"/>
      <c r="AB71" s="9"/>
    </row>
    <row r="72" spans="1:28" x14ac:dyDescent="0.35">
      <c r="A72" s="6"/>
      <c r="B72" s="6">
        <v>15</v>
      </c>
      <c r="C72" s="6">
        <v>7.58</v>
      </c>
      <c r="D72" s="6">
        <v>6.93</v>
      </c>
      <c r="E72" s="6">
        <v>8.1999999999999993</v>
      </c>
      <c r="F72" s="6">
        <v>6.94</v>
      </c>
      <c r="G72" s="6"/>
      <c r="H72" s="6">
        <v>15</v>
      </c>
      <c r="I72" s="6">
        <v>11.14</v>
      </c>
      <c r="J72" s="6">
        <v>10.87</v>
      </c>
      <c r="K72" s="6">
        <v>11.47</v>
      </c>
      <c r="L72" s="6">
        <v>11.69</v>
      </c>
      <c r="M72" s="20"/>
      <c r="N72" s="20">
        <v>15</v>
      </c>
      <c r="O72" s="13">
        <f t="shared" si="31"/>
        <v>88.86</v>
      </c>
      <c r="P72" s="13">
        <f t="shared" si="28"/>
        <v>89.13</v>
      </c>
      <c r="Q72" s="13">
        <f t="shared" si="29"/>
        <v>88.53</v>
      </c>
      <c r="R72" s="13">
        <f t="shared" si="30"/>
        <v>88.31</v>
      </c>
      <c r="S72" s="15">
        <f t="shared" si="32"/>
        <v>88.707499999999996</v>
      </c>
      <c r="T72" s="6"/>
      <c r="U72" s="6">
        <v>15</v>
      </c>
      <c r="V72" s="13">
        <f t="shared" si="33"/>
        <v>6.0432708871662353</v>
      </c>
      <c r="W72" s="13">
        <f t="shared" si="34"/>
        <v>6.06163329026701</v>
      </c>
      <c r="X72" s="13">
        <f t="shared" si="35"/>
        <v>6.0432708871662353</v>
      </c>
      <c r="Y72" s="13">
        <f t="shared" si="36"/>
        <v>6.0058659919609534</v>
      </c>
      <c r="Z72" s="15">
        <f t="shared" si="37"/>
        <v>6.0385102641401076</v>
      </c>
      <c r="AA72" s="9"/>
      <c r="AB72" s="9"/>
    </row>
    <row r="73" spans="1:28" x14ac:dyDescent="0.35">
      <c r="A73" s="6"/>
      <c r="B73" s="6"/>
      <c r="C73" s="10"/>
      <c r="D73" s="17"/>
      <c r="E73" s="6"/>
      <c r="F73" s="6"/>
      <c r="G73" s="6"/>
      <c r="H73" s="6"/>
      <c r="I73" s="10"/>
      <c r="J73" s="17"/>
      <c r="K73" s="6"/>
      <c r="L73" s="6"/>
      <c r="M73" s="20"/>
      <c r="N73" s="20"/>
      <c r="O73" s="10"/>
      <c r="P73" s="21"/>
      <c r="Q73" s="20"/>
      <c r="R73" s="20"/>
      <c r="S73" s="9"/>
      <c r="T73" s="6"/>
      <c r="U73" s="6"/>
      <c r="V73" s="10"/>
      <c r="W73" s="17"/>
      <c r="X73" s="6"/>
      <c r="Y73" s="6"/>
      <c r="Z73" s="9"/>
      <c r="AA73" s="9"/>
      <c r="AB73" s="9"/>
    </row>
    <row r="74" spans="1:28" x14ac:dyDescent="0.35">
      <c r="A74" s="6"/>
      <c r="B74" s="6"/>
      <c r="C74" s="6" t="s">
        <v>4</v>
      </c>
      <c r="D74" s="6" t="s">
        <v>5</v>
      </c>
      <c r="E74" s="6" t="s">
        <v>6</v>
      </c>
      <c r="F74" s="6" t="s">
        <v>7</v>
      </c>
      <c r="G74" s="6"/>
      <c r="H74" s="6"/>
      <c r="I74" s="6" t="s">
        <v>4</v>
      </c>
      <c r="J74" s="6" t="s">
        <v>5</v>
      </c>
      <c r="K74" s="6" t="s">
        <v>6</v>
      </c>
      <c r="L74" s="6" t="s">
        <v>7</v>
      </c>
      <c r="M74" s="20"/>
      <c r="N74" s="20"/>
      <c r="O74" s="20" t="s">
        <v>4</v>
      </c>
      <c r="P74" s="20" t="s">
        <v>5</v>
      </c>
      <c r="Q74" s="20" t="s">
        <v>6</v>
      </c>
      <c r="R74" s="20" t="s">
        <v>7</v>
      </c>
      <c r="S74" s="12" t="s">
        <v>8</v>
      </c>
      <c r="T74" s="6"/>
      <c r="U74" s="6"/>
      <c r="V74" s="6" t="s">
        <v>4</v>
      </c>
      <c r="W74" s="6" t="s">
        <v>5</v>
      </c>
      <c r="X74" s="6" t="s">
        <v>6</v>
      </c>
      <c r="Y74" s="6" t="s">
        <v>7</v>
      </c>
      <c r="Z74" s="12" t="s">
        <v>8</v>
      </c>
      <c r="AA74" s="9"/>
      <c r="AB74" s="9"/>
    </row>
    <row r="75" spans="1:28" x14ac:dyDescent="0.35">
      <c r="A75" s="6"/>
      <c r="B75" s="6">
        <v>1</v>
      </c>
      <c r="C75" s="13">
        <v>6.85</v>
      </c>
      <c r="D75" s="13">
        <v>6.74</v>
      </c>
      <c r="E75" s="13">
        <v>6.17</v>
      </c>
      <c r="F75" s="13">
        <v>6.74</v>
      </c>
      <c r="G75" s="6"/>
      <c r="H75" s="6">
        <v>1</v>
      </c>
      <c r="I75" s="13">
        <v>12.85</v>
      </c>
      <c r="J75" s="13">
        <v>12.64</v>
      </c>
      <c r="K75" s="13">
        <v>11.3</v>
      </c>
      <c r="L75" s="13">
        <v>11.5</v>
      </c>
      <c r="M75" s="20"/>
      <c r="N75" s="20">
        <v>1</v>
      </c>
      <c r="O75" s="13">
        <f>+(100-I75)</f>
        <v>87.15</v>
      </c>
      <c r="P75" s="13">
        <f t="shared" ref="P75:P89" si="38">+(100-J75)</f>
        <v>87.36</v>
      </c>
      <c r="Q75" s="13">
        <f t="shared" ref="Q75:Q89" si="39">+(100-K75)</f>
        <v>88.7</v>
      </c>
      <c r="R75" s="13">
        <f t="shared" ref="R75:R89" si="40">+(100-L75)</f>
        <v>88.5</v>
      </c>
      <c r="S75" s="15">
        <f>AVERAGE(O75:R75)</f>
        <v>87.927499999999995</v>
      </c>
      <c r="T75" s="6"/>
      <c r="U75" s="6">
        <v>1</v>
      </c>
      <c r="V75" s="13">
        <f>+(((C75*O75)/86)/12.96)*10</f>
        <v>5.3561719422911285</v>
      </c>
      <c r="W75" s="13">
        <f>+(((C75*P75)/86)/12.96)*10</f>
        <v>5.369078380706287</v>
      </c>
      <c r="X75" s="13">
        <f>+(((C75*O75)/86)/12.96)*10</f>
        <v>5.3561719422911285</v>
      </c>
      <c r="Y75" s="13">
        <f>+(((C75*R75)/86)/12.96)*10</f>
        <v>5.4391419035314383</v>
      </c>
      <c r="Z75" s="15">
        <f>AVERAGE(V75:Y75)</f>
        <v>5.380141042204996</v>
      </c>
      <c r="AA75" s="9"/>
      <c r="AB75" s="9"/>
    </row>
    <row r="76" spans="1:28" x14ac:dyDescent="0.35">
      <c r="A76" s="6"/>
      <c r="B76" s="6">
        <v>2</v>
      </c>
      <c r="C76" s="13">
        <v>7.99</v>
      </c>
      <c r="D76" s="13">
        <v>7.88</v>
      </c>
      <c r="E76" s="13">
        <v>7.18</v>
      </c>
      <c r="F76" s="13">
        <v>8.4600000000000009</v>
      </c>
      <c r="G76" s="6"/>
      <c r="H76" s="6">
        <v>2</v>
      </c>
      <c r="I76" s="13">
        <v>10.54</v>
      </c>
      <c r="J76" s="13">
        <v>10.8</v>
      </c>
      <c r="K76" s="13">
        <v>10.97</v>
      </c>
      <c r="L76" s="13">
        <v>9.4499999999999993</v>
      </c>
      <c r="M76" s="20"/>
      <c r="N76" s="20">
        <v>2</v>
      </c>
      <c r="O76" s="13">
        <f t="shared" ref="O76:O89" si="41">+(100-I76)</f>
        <v>89.460000000000008</v>
      </c>
      <c r="P76" s="13">
        <f t="shared" si="38"/>
        <v>89.2</v>
      </c>
      <c r="Q76" s="13">
        <f t="shared" si="39"/>
        <v>89.03</v>
      </c>
      <c r="R76" s="13">
        <f t="shared" si="40"/>
        <v>90.55</v>
      </c>
      <c r="S76" s="15">
        <f t="shared" ref="S76:S89" si="42">AVERAGE(O76:R76)</f>
        <v>89.560000000000016</v>
      </c>
      <c r="T76" s="6"/>
      <c r="U76" s="6">
        <v>2</v>
      </c>
      <c r="V76" s="13">
        <f t="shared" ref="V76:V89" si="43">+(((C76*O76)/86)/12.96)*10</f>
        <v>6.4131621447028433</v>
      </c>
      <c r="W76" s="13">
        <f t="shared" ref="W76:W89" si="44">+(((C76*P76)/86)/12.96)*10</f>
        <v>6.3945233993683619</v>
      </c>
      <c r="X76" s="13">
        <f t="shared" ref="X76:X89" si="45">+(((C76*O76)/86)/12.96)*10</f>
        <v>6.4131621447028433</v>
      </c>
      <c r="Y76" s="13">
        <f t="shared" ref="Y76:Y89" si="46">+(((C76*R76)/86)/12.96)*10</f>
        <v>6.491301500143555</v>
      </c>
      <c r="Z76" s="15">
        <f t="shared" ref="Z76:Z89" si="47">AVERAGE(V76:Y76)</f>
        <v>6.4280372972294018</v>
      </c>
      <c r="AA76" s="9"/>
      <c r="AB76" s="9"/>
    </row>
    <row r="77" spans="1:28" x14ac:dyDescent="0.35">
      <c r="A77" s="6"/>
      <c r="B77" s="6">
        <v>3</v>
      </c>
      <c r="C77" s="13">
        <v>7.63</v>
      </c>
      <c r="D77" s="13">
        <v>8.1</v>
      </c>
      <c r="E77" s="13">
        <v>8.2799999999999994</v>
      </c>
      <c r="F77" s="13">
        <v>8.01</v>
      </c>
      <c r="G77" s="6"/>
      <c r="H77" s="6">
        <v>3</v>
      </c>
      <c r="I77" s="13">
        <v>11.07</v>
      </c>
      <c r="J77" s="13">
        <v>10.92</v>
      </c>
      <c r="K77" s="13">
        <v>10.55</v>
      </c>
      <c r="L77" s="13">
        <v>9.31</v>
      </c>
      <c r="M77" s="20"/>
      <c r="N77" s="20">
        <v>3</v>
      </c>
      <c r="O77" s="13">
        <f t="shared" si="41"/>
        <v>88.93</v>
      </c>
      <c r="P77" s="13">
        <f t="shared" si="38"/>
        <v>89.08</v>
      </c>
      <c r="Q77" s="13">
        <f t="shared" si="39"/>
        <v>89.45</v>
      </c>
      <c r="R77" s="13">
        <f t="shared" si="40"/>
        <v>90.69</v>
      </c>
      <c r="S77" s="15">
        <f t="shared" si="42"/>
        <v>89.537499999999994</v>
      </c>
      <c r="T77" s="6"/>
      <c r="U77" s="6">
        <v>3</v>
      </c>
      <c r="V77" s="13">
        <f t="shared" si="43"/>
        <v>6.087926177146139</v>
      </c>
      <c r="W77" s="13">
        <f t="shared" si="44"/>
        <v>6.0981948033304612</v>
      </c>
      <c r="X77" s="13">
        <f t="shared" si="45"/>
        <v>6.087926177146139</v>
      </c>
      <c r="Y77" s="13">
        <f t="shared" si="46"/>
        <v>6.2084113910422056</v>
      </c>
      <c r="Z77" s="15">
        <f t="shared" si="47"/>
        <v>6.120614637166236</v>
      </c>
      <c r="AA77" s="9"/>
      <c r="AB77" s="9"/>
    </row>
    <row r="78" spans="1:28" x14ac:dyDescent="0.35">
      <c r="A78" s="6"/>
      <c r="B78" s="6">
        <v>4</v>
      </c>
      <c r="C78" s="13">
        <v>9.66</v>
      </c>
      <c r="D78" s="13">
        <v>10.7</v>
      </c>
      <c r="E78" s="13">
        <v>8.4600000000000009</v>
      </c>
      <c r="F78" s="13">
        <v>9.1199999999999992</v>
      </c>
      <c r="G78" s="6"/>
      <c r="H78" s="6">
        <v>4</v>
      </c>
      <c r="I78" s="13">
        <v>12.73</v>
      </c>
      <c r="J78" s="13">
        <v>12.64</v>
      </c>
      <c r="K78" s="13">
        <v>9.9499999999999993</v>
      </c>
      <c r="L78" s="13">
        <v>9.9</v>
      </c>
      <c r="M78" s="20"/>
      <c r="N78" s="20">
        <v>4</v>
      </c>
      <c r="O78" s="13">
        <f t="shared" si="41"/>
        <v>87.27</v>
      </c>
      <c r="P78" s="13">
        <f t="shared" si="38"/>
        <v>87.36</v>
      </c>
      <c r="Q78" s="13">
        <f t="shared" si="39"/>
        <v>90.05</v>
      </c>
      <c r="R78" s="13">
        <f t="shared" si="40"/>
        <v>90.1</v>
      </c>
      <c r="S78" s="15">
        <f t="shared" si="42"/>
        <v>88.694999999999993</v>
      </c>
      <c r="T78" s="6"/>
      <c r="U78" s="6">
        <v>4</v>
      </c>
      <c r="V78" s="13">
        <f t="shared" si="43"/>
        <v>7.5637758397932808</v>
      </c>
      <c r="W78" s="13">
        <f t="shared" si="44"/>
        <v>7.5715762273901799</v>
      </c>
      <c r="X78" s="13">
        <f t="shared" si="45"/>
        <v>7.5637758397932808</v>
      </c>
      <c r="Y78" s="13">
        <f t="shared" si="46"/>
        <v>7.809054694229113</v>
      </c>
      <c r="Z78" s="15">
        <f t="shared" si="47"/>
        <v>7.6270456503014632</v>
      </c>
      <c r="AA78" s="9"/>
      <c r="AB78" s="9"/>
    </row>
    <row r="79" spans="1:28" x14ac:dyDescent="0.35">
      <c r="A79" s="6"/>
      <c r="B79" s="6">
        <v>5</v>
      </c>
      <c r="C79" s="13">
        <v>8.35</v>
      </c>
      <c r="D79" s="13">
        <v>8.91</v>
      </c>
      <c r="E79" s="13">
        <v>7.61</v>
      </c>
      <c r="F79" s="13">
        <v>8.5299999999999994</v>
      </c>
      <c r="G79" s="6"/>
      <c r="H79" s="6">
        <v>5</v>
      </c>
      <c r="I79" s="13">
        <v>12.24</v>
      </c>
      <c r="J79" s="13">
        <v>12.78</v>
      </c>
      <c r="K79" s="13">
        <v>9.57</v>
      </c>
      <c r="L79" s="13">
        <v>9.89</v>
      </c>
      <c r="M79" s="20"/>
      <c r="N79" s="20">
        <v>5</v>
      </c>
      <c r="O79" s="13">
        <f t="shared" si="41"/>
        <v>87.76</v>
      </c>
      <c r="P79" s="13">
        <f t="shared" si="38"/>
        <v>87.22</v>
      </c>
      <c r="Q79" s="13">
        <f t="shared" si="39"/>
        <v>90.43</v>
      </c>
      <c r="R79" s="13">
        <f t="shared" si="40"/>
        <v>90.11</v>
      </c>
      <c r="S79" s="15">
        <f t="shared" si="42"/>
        <v>88.88000000000001</v>
      </c>
      <c r="T79" s="6"/>
      <c r="U79" s="6">
        <v>5</v>
      </c>
      <c r="V79" s="13">
        <f t="shared" si="43"/>
        <v>6.5747559575078949</v>
      </c>
      <c r="W79" s="13">
        <f t="shared" si="44"/>
        <v>6.5343005311513043</v>
      </c>
      <c r="X79" s="13">
        <f t="shared" si="45"/>
        <v>6.5747559575078949</v>
      </c>
      <c r="Y79" s="13">
        <f t="shared" si="46"/>
        <v>6.7508119796152748</v>
      </c>
      <c r="Z79" s="15">
        <f t="shared" si="47"/>
        <v>6.6086561064455926</v>
      </c>
      <c r="AA79" s="9"/>
      <c r="AB79" s="9"/>
    </row>
    <row r="80" spans="1:28" x14ac:dyDescent="0.35">
      <c r="A80" s="11" t="s">
        <v>17</v>
      </c>
      <c r="B80" s="6">
        <v>6</v>
      </c>
      <c r="C80" s="13">
        <v>9.2899999999999991</v>
      </c>
      <c r="D80" s="13">
        <v>10.46</v>
      </c>
      <c r="E80" s="13">
        <v>8.8000000000000007</v>
      </c>
      <c r="F80" s="13">
        <v>9.3800000000000008</v>
      </c>
      <c r="G80" s="11" t="s">
        <v>17</v>
      </c>
      <c r="H80" s="6">
        <v>6</v>
      </c>
      <c r="I80" s="13">
        <v>12.06</v>
      </c>
      <c r="J80" s="13">
        <v>12.19</v>
      </c>
      <c r="K80" s="13">
        <v>10.27</v>
      </c>
      <c r="L80" s="13">
        <v>10.69</v>
      </c>
      <c r="M80" s="11" t="s">
        <v>17</v>
      </c>
      <c r="N80" s="20">
        <v>6</v>
      </c>
      <c r="O80" s="13">
        <f t="shared" si="41"/>
        <v>87.94</v>
      </c>
      <c r="P80" s="13">
        <f t="shared" si="38"/>
        <v>87.81</v>
      </c>
      <c r="Q80" s="13">
        <f t="shared" si="39"/>
        <v>89.73</v>
      </c>
      <c r="R80" s="13">
        <f t="shared" si="40"/>
        <v>89.31</v>
      </c>
      <c r="S80" s="15">
        <f t="shared" si="42"/>
        <v>88.697500000000005</v>
      </c>
      <c r="T80" s="11" t="s">
        <v>17</v>
      </c>
      <c r="U80" s="6">
        <v>6</v>
      </c>
      <c r="V80" s="13">
        <f t="shared" si="43"/>
        <v>7.3299113551536017</v>
      </c>
      <c r="W80" s="13">
        <f t="shared" si="44"/>
        <v>7.3190756890611528</v>
      </c>
      <c r="X80" s="13">
        <f t="shared" si="45"/>
        <v>7.3299113551536017</v>
      </c>
      <c r="Y80" s="13">
        <f t="shared" si="46"/>
        <v>7.4441026055124881</v>
      </c>
      <c r="Z80" s="15">
        <f t="shared" si="47"/>
        <v>7.3557502512202104</v>
      </c>
      <c r="AA80" s="9"/>
      <c r="AB80" s="9"/>
    </row>
    <row r="81" spans="1:28" x14ac:dyDescent="0.35">
      <c r="A81" s="6" t="s">
        <v>18</v>
      </c>
      <c r="B81" s="6">
        <v>7</v>
      </c>
      <c r="C81" s="13">
        <v>8.9</v>
      </c>
      <c r="D81" s="13">
        <v>10.119999999999999</v>
      </c>
      <c r="E81" s="13">
        <v>7.94</v>
      </c>
      <c r="F81" s="13">
        <v>8.9</v>
      </c>
      <c r="G81" s="6" t="s">
        <v>18</v>
      </c>
      <c r="H81" s="6">
        <v>7</v>
      </c>
      <c r="I81" s="13">
        <v>11.23</v>
      </c>
      <c r="J81" s="13">
        <v>11.6</v>
      </c>
      <c r="K81" s="13">
        <v>10.24</v>
      </c>
      <c r="L81" s="13">
        <v>10.81</v>
      </c>
      <c r="M81" s="20" t="s">
        <v>18</v>
      </c>
      <c r="N81" s="20">
        <v>7</v>
      </c>
      <c r="O81" s="13">
        <f t="shared" si="41"/>
        <v>88.77</v>
      </c>
      <c r="P81" s="13">
        <f t="shared" si="38"/>
        <v>88.4</v>
      </c>
      <c r="Q81" s="13">
        <f t="shared" si="39"/>
        <v>89.76</v>
      </c>
      <c r="R81" s="13">
        <f t="shared" si="40"/>
        <v>89.19</v>
      </c>
      <c r="S81" s="15">
        <f t="shared" si="42"/>
        <v>89.03</v>
      </c>
      <c r="T81" s="6" t="s">
        <v>18</v>
      </c>
      <c r="U81" s="6">
        <v>7</v>
      </c>
      <c r="V81" s="13">
        <f t="shared" si="43"/>
        <v>7.0884743755383282</v>
      </c>
      <c r="W81" s="13">
        <f t="shared" si="44"/>
        <v>7.058929084122882</v>
      </c>
      <c r="X81" s="13">
        <f t="shared" si="45"/>
        <v>7.0884743755383282</v>
      </c>
      <c r="Y81" s="13">
        <f t="shared" si="46"/>
        <v>7.1220122739018095</v>
      </c>
      <c r="Z81" s="15">
        <f t="shared" si="47"/>
        <v>7.0894725272753369</v>
      </c>
      <c r="AA81" s="9"/>
      <c r="AB81" s="9"/>
    </row>
    <row r="82" spans="1:28" x14ac:dyDescent="0.35">
      <c r="A82" s="6"/>
      <c r="B82" s="6">
        <v>8</v>
      </c>
      <c r="C82" s="13">
        <v>8.2899999999999991</v>
      </c>
      <c r="D82" s="13">
        <v>9.48</v>
      </c>
      <c r="E82" s="13">
        <v>8.14</v>
      </c>
      <c r="F82" s="13">
        <v>9.14</v>
      </c>
      <c r="G82" s="6"/>
      <c r="H82" s="6">
        <v>8</v>
      </c>
      <c r="I82" s="13">
        <v>12.42</v>
      </c>
      <c r="J82" s="13">
        <v>12.63</v>
      </c>
      <c r="K82" s="13">
        <v>12.08</v>
      </c>
      <c r="L82" s="13">
        <v>11.83</v>
      </c>
      <c r="M82" s="20"/>
      <c r="N82" s="20">
        <v>8</v>
      </c>
      <c r="O82" s="13">
        <f t="shared" si="41"/>
        <v>87.58</v>
      </c>
      <c r="P82" s="13">
        <f t="shared" si="38"/>
        <v>87.37</v>
      </c>
      <c r="Q82" s="13">
        <f t="shared" si="39"/>
        <v>87.92</v>
      </c>
      <c r="R82" s="13">
        <f t="shared" si="40"/>
        <v>88.17</v>
      </c>
      <c r="S82" s="15">
        <f t="shared" si="42"/>
        <v>87.76</v>
      </c>
      <c r="T82" s="6"/>
      <c r="U82" s="6">
        <v>8</v>
      </c>
      <c r="V82" s="13">
        <f t="shared" si="43"/>
        <v>6.5141239592305471</v>
      </c>
      <c r="W82" s="13">
        <f t="shared" si="44"/>
        <v>6.498504342520814</v>
      </c>
      <c r="X82" s="13">
        <f t="shared" si="45"/>
        <v>6.5141239592305471</v>
      </c>
      <c r="Y82" s="13">
        <f t="shared" si="46"/>
        <v>6.5580076442721769</v>
      </c>
      <c r="Z82" s="15">
        <f t="shared" si="47"/>
        <v>6.5211899763135213</v>
      </c>
      <c r="AA82" s="9"/>
      <c r="AB82" s="9"/>
    </row>
    <row r="83" spans="1:28" x14ac:dyDescent="0.35">
      <c r="A83" s="6"/>
      <c r="B83" s="6">
        <v>9</v>
      </c>
      <c r="C83" s="13">
        <v>9.81</v>
      </c>
      <c r="D83" s="13">
        <v>10.81</v>
      </c>
      <c r="E83" s="13">
        <v>8.57</v>
      </c>
      <c r="F83" s="13">
        <v>8.6999999999999993</v>
      </c>
      <c r="G83" s="6"/>
      <c r="H83" s="6">
        <v>9</v>
      </c>
      <c r="I83" s="13">
        <v>12.6</v>
      </c>
      <c r="J83" s="13">
        <v>12.73</v>
      </c>
      <c r="K83" s="13">
        <v>10.63</v>
      </c>
      <c r="L83" s="13">
        <v>11.03</v>
      </c>
      <c r="M83" s="20"/>
      <c r="N83" s="20">
        <v>9</v>
      </c>
      <c r="O83" s="13">
        <f t="shared" si="41"/>
        <v>87.4</v>
      </c>
      <c r="P83" s="13">
        <f t="shared" si="38"/>
        <v>87.27</v>
      </c>
      <c r="Q83" s="13">
        <f t="shared" si="39"/>
        <v>89.37</v>
      </c>
      <c r="R83" s="13">
        <f t="shared" si="40"/>
        <v>88.97</v>
      </c>
      <c r="S83" s="15">
        <f t="shared" si="42"/>
        <v>88.252499999999998</v>
      </c>
      <c r="T83" s="6"/>
      <c r="U83" s="6">
        <v>9</v>
      </c>
      <c r="V83" s="13">
        <f t="shared" si="43"/>
        <v>7.6926679586563314</v>
      </c>
      <c r="W83" s="13">
        <f t="shared" si="44"/>
        <v>7.6812257751937976</v>
      </c>
      <c r="X83" s="13">
        <f t="shared" si="45"/>
        <v>7.6926679586563314</v>
      </c>
      <c r="Y83" s="13">
        <f t="shared" si="46"/>
        <v>7.8308543281653744</v>
      </c>
      <c r="Z83" s="15">
        <f t="shared" si="47"/>
        <v>7.7243540051679584</v>
      </c>
      <c r="AA83" s="9"/>
      <c r="AB83" s="9"/>
    </row>
    <row r="84" spans="1:28" x14ac:dyDescent="0.35">
      <c r="A84" s="6"/>
      <c r="B84" s="6">
        <v>10</v>
      </c>
      <c r="C84" s="13">
        <v>9.6</v>
      </c>
      <c r="D84" s="13">
        <v>9.9700000000000006</v>
      </c>
      <c r="E84" s="13">
        <v>8.2100000000000009</v>
      </c>
      <c r="F84" s="13">
        <v>9.9</v>
      </c>
      <c r="G84" s="6"/>
      <c r="H84" s="6">
        <v>10</v>
      </c>
      <c r="I84" s="13">
        <v>11.8</v>
      </c>
      <c r="J84" s="13">
        <v>11.9</v>
      </c>
      <c r="K84" s="13">
        <v>10.73</v>
      </c>
      <c r="L84" s="13">
        <v>11.28</v>
      </c>
      <c r="M84" s="20"/>
      <c r="N84" s="20">
        <v>10</v>
      </c>
      <c r="O84" s="13">
        <f t="shared" si="41"/>
        <v>88.2</v>
      </c>
      <c r="P84" s="13">
        <f t="shared" si="38"/>
        <v>88.1</v>
      </c>
      <c r="Q84" s="13">
        <f t="shared" si="39"/>
        <v>89.27</v>
      </c>
      <c r="R84" s="13">
        <f t="shared" si="40"/>
        <v>88.72</v>
      </c>
      <c r="S84" s="15">
        <f t="shared" si="42"/>
        <v>88.572499999999991</v>
      </c>
      <c r="T84" s="6"/>
      <c r="U84" s="6">
        <v>10</v>
      </c>
      <c r="V84" s="13">
        <f t="shared" si="43"/>
        <v>7.5968992248062017</v>
      </c>
      <c r="W84" s="13">
        <f t="shared" si="44"/>
        <v>7.5882859603789807</v>
      </c>
      <c r="X84" s="13">
        <f t="shared" si="45"/>
        <v>7.5968992248062017</v>
      </c>
      <c r="Y84" s="13">
        <f t="shared" si="46"/>
        <v>7.6416881998277342</v>
      </c>
      <c r="Z84" s="15">
        <f t="shared" si="47"/>
        <v>7.6059431524547794</v>
      </c>
      <c r="AA84" s="9"/>
      <c r="AB84" s="9"/>
    </row>
    <row r="85" spans="1:28" x14ac:dyDescent="0.35">
      <c r="A85" s="6"/>
      <c r="B85" s="6">
        <v>11</v>
      </c>
      <c r="C85" s="13">
        <v>9.61</v>
      </c>
      <c r="D85" s="13">
        <v>9.8699999999999992</v>
      </c>
      <c r="E85" s="13">
        <v>9.18</v>
      </c>
      <c r="F85" s="13">
        <v>9.4700000000000006</v>
      </c>
      <c r="G85" s="6"/>
      <c r="H85" s="6">
        <v>11</v>
      </c>
      <c r="I85" s="13">
        <v>11.84</v>
      </c>
      <c r="J85" s="13">
        <v>11.95</v>
      </c>
      <c r="K85" s="13">
        <v>9.6999999999999993</v>
      </c>
      <c r="L85" s="13">
        <v>11.04</v>
      </c>
      <c r="M85" s="20"/>
      <c r="N85" s="20">
        <v>11</v>
      </c>
      <c r="O85" s="13">
        <f t="shared" si="41"/>
        <v>88.16</v>
      </c>
      <c r="P85" s="13">
        <f t="shared" si="38"/>
        <v>88.05</v>
      </c>
      <c r="Q85" s="13">
        <f t="shared" si="39"/>
        <v>90.3</v>
      </c>
      <c r="R85" s="13">
        <f t="shared" si="40"/>
        <v>88.960000000000008</v>
      </c>
      <c r="S85" s="15">
        <f t="shared" si="42"/>
        <v>88.867500000000007</v>
      </c>
      <c r="T85" s="6"/>
      <c r="U85" s="6">
        <v>11</v>
      </c>
      <c r="V85" s="13">
        <f t="shared" si="43"/>
        <v>7.6013637668676415</v>
      </c>
      <c r="W85" s="13">
        <f t="shared" si="44"/>
        <v>7.5918793066322134</v>
      </c>
      <c r="X85" s="13">
        <f t="shared" si="45"/>
        <v>7.6013637668676415</v>
      </c>
      <c r="Y85" s="13">
        <f t="shared" si="46"/>
        <v>7.6703416594889475</v>
      </c>
      <c r="Z85" s="15">
        <f t="shared" si="47"/>
        <v>7.616237124964111</v>
      </c>
      <c r="AA85" s="9"/>
      <c r="AB85" s="9"/>
    </row>
    <row r="86" spans="1:28" x14ac:dyDescent="0.35">
      <c r="A86" s="6"/>
      <c r="B86" s="6">
        <v>12</v>
      </c>
      <c r="C86" s="13">
        <v>9.7899999999999991</v>
      </c>
      <c r="D86" s="13">
        <v>9.83</v>
      </c>
      <c r="E86" s="13">
        <v>8.17</v>
      </c>
      <c r="F86" s="13">
        <v>9.76</v>
      </c>
      <c r="G86" s="6"/>
      <c r="H86" s="6">
        <v>12</v>
      </c>
      <c r="I86" s="13">
        <v>11.47</v>
      </c>
      <c r="J86" s="13">
        <v>11.39</v>
      </c>
      <c r="K86" s="13">
        <v>11.02</v>
      </c>
      <c r="L86" s="13">
        <v>10.4</v>
      </c>
      <c r="M86" s="20"/>
      <c r="N86" s="20">
        <v>12</v>
      </c>
      <c r="O86" s="13">
        <f t="shared" si="41"/>
        <v>88.53</v>
      </c>
      <c r="P86" s="13">
        <f t="shared" si="38"/>
        <v>88.61</v>
      </c>
      <c r="Q86" s="13">
        <f t="shared" si="39"/>
        <v>88.98</v>
      </c>
      <c r="R86" s="13">
        <f t="shared" si="40"/>
        <v>89.6</v>
      </c>
      <c r="S86" s="15">
        <f t="shared" si="42"/>
        <v>88.93</v>
      </c>
      <c r="T86" s="6"/>
      <c r="U86" s="6">
        <v>12</v>
      </c>
      <c r="V86" s="13">
        <f t="shared" si="43"/>
        <v>7.7762408484065437</v>
      </c>
      <c r="W86" s="13">
        <f t="shared" si="44"/>
        <v>7.7832678366350834</v>
      </c>
      <c r="X86" s="13">
        <f t="shared" si="45"/>
        <v>7.7762408484065437</v>
      </c>
      <c r="Y86" s="13">
        <f t="shared" si="46"/>
        <v>7.8702268159632478</v>
      </c>
      <c r="Z86" s="15">
        <f t="shared" si="47"/>
        <v>7.8014940873528555</v>
      </c>
      <c r="AA86" s="9"/>
      <c r="AB86" s="9"/>
    </row>
    <row r="87" spans="1:28" x14ac:dyDescent="0.35">
      <c r="A87" s="6"/>
      <c r="B87" s="6">
        <v>13</v>
      </c>
      <c r="C87" s="13">
        <v>9.08</v>
      </c>
      <c r="D87" s="13">
        <v>8.99</v>
      </c>
      <c r="E87" s="13">
        <v>8.4</v>
      </c>
      <c r="F87" s="13">
        <v>7.86</v>
      </c>
      <c r="G87" s="6"/>
      <c r="H87" s="6">
        <v>13</v>
      </c>
      <c r="I87" s="13">
        <v>11.64</v>
      </c>
      <c r="J87" s="13">
        <v>11.79</v>
      </c>
      <c r="K87" s="13">
        <v>9.52</v>
      </c>
      <c r="L87" s="13">
        <v>9.6</v>
      </c>
      <c r="M87" s="20"/>
      <c r="N87" s="20">
        <v>13</v>
      </c>
      <c r="O87" s="13">
        <f t="shared" si="41"/>
        <v>88.36</v>
      </c>
      <c r="P87" s="13">
        <f t="shared" si="38"/>
        <v>88.210000000000008</v>
      </c>
      <c r="Q87" s="13">
        <f t="shared" si="39"/>
        <v>90.48</v>
      </c>
      <c r="R87" s="13">
        <f t="shared" si="40"/>
        <v>90.4</v>
      </c>
      <c r="S87" s="15">
        <f t="shared" si="42"/>
        <v>89.362500000000011</v>
      </c>
      <c r="T87" s="6"/>
      <c r="U87" s="6">
        <v>13</v>
      </c>
      <c r="V87" s="13">
        <f t="shared" si="43"/>
        <v>7.1984352569623891</v>
      </c>
      <c r="W87" s="13">
        <f t="shared" si="44"/>
        <v>7.1862151880562735</v>
      </c>
      <c r="X87" s="13">
        <f t="shared" si="45"/>
        <v>7.1984352569623891</v>
      </c>
      <c r="Y87" s="13">
        <f t="shared" si="46"/>
        <v>7.3646281940855598</v>
      </c>
      <c r="Z87" s="15">
        <f t="shared" si="47"/>
        <v>7.2369284740166524</v>
      </c>
      <c r="AA87" s="9"/>
      <c r="AB87" s="9"/>
    </row>
    <row r="88" spans="1:28" x14ac:dyDescent="0.35">
      <c r="A88" s="6"/>
      <c r="B88" s="6">
        <v>14</v>
      </c>
      <c r="C88" s="13">
        <v>9.3699999999999992</v>
      </c>
      <c r="D88" s="13">
        <v>9.65</v>
      </c>
      <c r="E88" s="13">
        <v>8.51</v>
      </c>
      <c r="F88" s="13">
        <v>8.68</v>
      </c>
      <c r="G88" s="6"/>
      <c r="H88" s="6">
        <v>14</v>
      </c>
      <c r="I88" s="13">
        <v>11.31</v>
      </c>
      <c r="J88" s="13">
        <v>11.83</v>
      </c>
      <c r="K88" s="13">
        <v>10.28</v>
      </c>
      <c r="L88" s="13">
        <v>10.16</v>
      </c>
      <c r="M88" s="20"/>
      <c r="N88" s="20">
        <v>14</v>
      </c>
      <c r="O88" s="13">
        <f t="shared" si="41"/>
        <v>88.69</v>
      </c>
      <c r="P88" s="13">
        <f t="shared" si="38"/>
        <v>88.17</v>
      </c>
      <c r="Q88" s="13">
        <f t="shared" si="39"/>
        <v>89.72</v>
      </c>
      <c r="R88" s="13">
        <f t="shared" si="40"/>
        <v>89.84</v>
      </c>
      <c r="S88" s="15">
        <f t="shared" si="42"/>
        <v>89.105000000000018</v>
      </c>
      <c r="T88" s="6"/>
      <c r="U88" s="6">
        <v>14</v>
      </c>
      <c r="V88" s="13">
        <f t="shared" si="43"/>
        <v>7.4560840152167653</v>
      </c>
      <c r="W88" s="13">
        <f t="shared" si="44"/>
        <v>7.4123681093884572</v>
      </c>
      <c r="X88" s="13">
        <f t="shared" si="45"/>
        <v>7.4560840152167653</v>
      </c>
      <c r="Y88" s="13">
        <f t="shared" si="46"/>
        <v>7.5527634223370654</v>
      </c>
      <c r="Z88" s="15">
        <f t="shared" si="47"/>
        <v>7.4693248905397631</v>
      </c>
      <c r="AA88" s="9"/>
      <c r="AB88" s="9"/>
    </row>
    <row r="89" spans="1:28" x14ac:dyDescent="0.35">
      <c r="A89" s="6"/>
      <c r="B89" s="6">
        <v>15</v>
      </c>
      <c r="C89" s="13">
        <v>10.18</v>
      </c>
      <c r="D89" s="13">
        <v>8.7799999999999994</v>
      </c>
      <c r="E89" s="13">
        <v>8.34</v>
      </c>
      <c r="F89" s="13">
        <v>8.44</v>
      </c>
      <c r="G89" s="6"/>
      <c r="H89" s="6">
        <v>15</v>
      </c>
      <c r="I89" s="13">
        <v>12.63</v>
      </c>
      <c r="J89" s="13">
        <v>12.63</v>
      </c>
      <c r="K89" s="13">
        <v>10.67</v>
      </c>
      <c r="L89" s="13">
        <v>10.68</v>
      </c>
      <c r="M89" s="20"/>
      <c r="N89" s="20">
        <v>15</v>
      </c>
      <c r="O89" s="13">
        <f t="shared" si="41"/>
        <v>87.37</v>
      </c>
      <c r="P89" s="13">
        <f t="shared" si="38"/>
        <v>87.37</v>
      </c>
      <c r="Q89" s="13">
        <f t="shared" si="39"/>
        <v>89.33</v>
      </c>
      <c r="R89" s="13">
        <f t="shared" si="40"/>
        <v>89.32</v>
      </c>
      <c r="S89" s="15">
        <f t="shared" si="42"/>
        <v>88.347499999999997</v>
      </c>
      <c r="T89" s="6"/>
      <c r="U89" s="6">
        <v>15</v>
      </c>
      <c r="V89" s="13">
        <f t="shared" si="43"/>
        <v>7.9800692650014362</v>
      </c>
      <c r="W89" s="13">
        <f t="shared" si="44"/>
        <v>7.9800692650014362</v>
      </c>
      <c r="X89" s="13">
        <f t="shared" si="45"/>
        <v>7.9800692650014362</v>
      </c>
      <c r="Y89" s="13">
        <f t="shared" si="46"/>
        <v>8.1581754234854991</v>
      </c>
      <c r="Z89" s="15">
        <f t="shared" si="47"/>
        <v>8.0245958046224519</v>
      </c>
      <c r="AA89" s="9"/>
      <c r="AB89" s="9"/>
    </row>
    <row r="90" spans="1:28" x14ac:dyDescent="0.35">
      <c r="A90" s="6"/>
      <c r="B90" s="6"/>
      <c r="C90" s="13"/>
      <c r="D90" s="13"/>
      <c r="E90" s="13"/>
      <c r="F90" s="13"/>
      <c r="G90" s="6"/>
      <c r="H90" s="6"/>
      <c r="I90" s="13"/>
      <c r="J90" s="13"/>
      <c r="K90" s="13"/>
      <c r="L90" s="13"/>
      <c r="M90" s="20"/>
      <c r="N90" s="20"/>
      <c r="O90" s="13"/>
      <c r="P90" s="13"/>
      <c r="Q90" s="13"/>
      <c r="R90" s="13"/>
      <c r="S90" s="9"/>
      <c r="T90" s="6"/>
      <c r="U90" s="6"/>
      <c r="V90" s="13"/>
      <c r="W90" s="13"/>
      <c r="X90" s="13"/>
      <c r="Y90" s="13"/>
      <c r="Z90" s="9"/>
      <c r="AA90" s="9"/>
      <c r="AB90" s="9"/>
    </row>
    <row r="91" spans="1:28" x14ac:dyDescent="0.35">
      <c r="A91" s="6"/>
      <c r="B91" s="6"/>
      <c r="C91" s="6" t="s">
        <v>4</v>
      </c>
      <c r="D91" s="6" t="s">
        <v>5</v>
      </c>
      <c r="E91" s="6" t="s">
        <v>6</v>
      </c>
      <c r="F91" s="6" t="s">
        <v>7</v>
      </c>
      <c r="G91" s="6"/>
      <c r="H91" s="6"/>
      <c r="I91" s="6" t="s">
        <v>4</v>
      </c>
      <c r="J91" s="6" t="s">
        <v>5</v>
      </c>
      <c r="K91" s="6" t="s">
        <v>6</v>
      </c>
      <c r="L91" s="6" t="s">
        <v>7</v>
      </c>
      <c r="M91" s="20"/>
      <c r="N91" s="20"/>
      <c r="O91" s="20" t="s">
        <v>4</v>
      </c>
      <c r="P91" s="20" t="s">
        <v>5</v>
      </c>
      <c r="Q91" s="20" t="s">
        <v>6</v>
      </c>
      <c r="R91" s="20" t="s">
        <v>7</v>
      </c>
      <c r="S91" s="12" t="s">
        <v>8</v>
      </c>
      <c r="T91" s="6"/>
      <c r="U91" s="6"/>
      <c r="V91" s="6" t="s">
        <v>4</v>
      </c>
      <c r="W91" s="6" t="s">
        <v>5</v>
      </c>
      <c r="X91" s="6" t="s">
        <v>6</v>
      </c>
      <c r="Y91" s="6" t="s">
        <v>7</v>
      </c>
      <c r="Z91" s="12" t="s">
        <v>8</v>
      </c>
      <c r="AA91" s="9"/>
      <c r="AB91" s="9"/>
    </row>
    <row r="92" spans="1:28" x14ac:dyDescent="0.35">
      <c r="A92" s="6"/>
      <c r="B92" s="6">
        <v>1</v>
      </c>
      <c r="C92" s="13">
        <v>6.27</v>
      </c>
      <c r="D92" s="13">
        <v>7.1</v>
      </c>
      <c r="E92" s="13">
        <v>6.7</v>
      </c>
      <c r="F92" s="13">
        <v>7.16</v>
      </c>
      <c r="G92" s="6"/>
      <c r="H92" s="6">
        <v>1</v>
      </c>
      <c r="I92" s="13">
        <v>12.41</v>
      </c>
      <c r="J92" s="13">
        <v>12.39</v>
      </c>
      <c r="K92" s="13">
        <v>11.71</v>
      </c>
      <c r="L92" s="13">
        <v>11.98</v>
      </c>
      <c r="M92" s="20"/>
      <c r="N92" s="20">
        <v>1</v>
      </c>
      <c r="O92" s="13">
        <f>+(100-I92)</f>
        <v>87.59</v>
      </c>
      <c r="P92" s="13">
        <f t="shared" ref="P92:P106" si="48">+(100-J92)</f>
        <v>87.61</v>
      </c>
      <c r="Q92" s="13">
        <f t="shared" ref="Q92:Q106" si="49">+(100-K92)</f>
        <v>88.289999999999992</v>
      </c>
      <c r="R92" s="13">
        <f t="shared" ref="R92:R106" si="50">+(100-L92)</f>
        <v>88.02</v>
      </c>
      <c r="S92" s="15">
        <f>AVERAGE(O92:R92)</f>
        <v>87.877499999999998</v>
      </c>
      <c r="T92" s="6"/>
      <c r="U92" s="6">
        <v>1</v>
      </c>
      <c r="V92" s="13">
        <f>+(((C92*O92)/86)/12.96)*10</f>
        <v>4.9274090223944871</v>
      </c>
      <c r="W92" s="13">
        <f>+(((C92*P92)/86)/12.96)*10</f>
        <v>4.9285341300602914</v>
      </c>
      <c r="X92" s="13">
        <f>+(((C92*O92)/86)/12.96)*10</f>
        <v>4.9274090223944871</v>
      </c>
      <c r="Y92" s="13">
        <f>+(((C92*R92)/86)/12.96)*10</f>
        <v>4.9515988372093016</v>
      </c>
      <c r="Z92" s="15">
        <f>AVERAGE(V92:Y92)</f>
        <v>4.9337377530146416</v>
      </c>
      <c r="AA92" s="9"/>
      <c r="AB92" s="9"/>
    </row>
    <row r="93" spans="1:28" x14ac:dyDescent="0.35">
      <c r="A93" s="6"/>
      <c r="B93" s="6">
        <v>2</v>
      </c>
      <c r="C93" s="13">
        <v>7.61</v>
      </c>
      <c r="D93" s="13">
        <v>8.5500000000000007</v>
      </c>
      <c r="E93" s="13">
        <v>7.35</v>
      </c>
      <c r="F93" s="13">
        <v>9.09</v>
      </c>
      <c r="G93" s="6"/>
      <c r="H93" s="6">
        <v>2</v>
      </c>
      <c r="I93" s="13">
        <v>10.82</v>
      </c>
      <c r="J93" s="13">
        <v>10.55</v>
      </c>
      <c r="K93" s="13">
        <v>10.31</v>
      </c>
      <c r="L93" s="13">
        <v>9.4700000000000006</v>
      </c>
      <c r="M93" s="20"/>
      <c r="N93" s="20">
        <v>2</v>
      </c>
      <c r="O93" s="13">
        <f t="shared" ref="O93:O106" si="51">+(100-I93)</f>
        <v>89.18</v>
      </c>
      <c r="P93" s="13">
        <f t="shared" si="48"/>
        <v>89.45</v>
      </c>
      <c r="Q93" s="13">
        <f t="shared" si="49"/>
        <v>89.69</v>
      </c>
      <c r="R93" s="13">
        <f t="shared" si="50"/>
        <v>90.53</v>
      </c>
      <c r="S93" s="15">
        <f t="shared" ref="S93:S106" si="52">AVERAGE(O93:R93)</f>
        <v>89.712500000000006</v>
      </c>
      <c r="T93" s="6"/>
      <c r="U93" s="6">
        <v>2</v>
      </c>
      <c r="V93" s="13">
        <f t="shared" ref="V93:V106" si="53">+(((C93*O93)/86)/12.96)*10</f>
        <v>6.0890378265862779</v>
      </c>
      <c r="W93" s="13">
        <f t="shared" ref="W93:W106" si="54">+(((C93*P93)/86)/12.96)*10</f>
        <v>6.1074729041056566</v>
      </c>
      <c r="X93" s="13">
        <f t="shared" ref="X93:X106" si="55">+(((C93*O93)/86)/12.96)*10</f>
        <v>6.0890378265862779</v>
      </c>
      <c r="Y93" s="13">
        <f t="shared" ref="Y93:Y106" si="56">+(((C93*R93)/86)/12.96)*10</f>
        <v>6.1812132141831757</v>
      </c>
      <c r="Z93" s="15">
        <f t="shared" ref="Z93:Z106" si="57">AVERAGE(V93:Y93)</f>
        <v>6.1166904428653464</v>
      </c>
      <c r="AA93" s="9"/>
      <c r="AB93" s="9"/>
    </row>
    <row r="94" spans="1:28" x14ac:dyDescent="0.35">
      <c r="A94" s="6"/>
      <c r="B94" s="6">
        <v>3</v>
      </c>
      <c r="C94" s="13">
        <v>7.03</v>
      </c>
      <c r="D94" s="13">
        <v>8.11</v>
      </c>
      <c r="E94" s="13">
        <v>9.44</v>
      </c>
      <c r="F94" s="13">
        <v>8.36</v>
      </c>
      <c r="G94" s="6"/>
      <c r="H94" s="6">
        <v>3</v>
      </c>
      <c r="I94" s="13">
        <v>11.06</v>
      </c>
      <c r="J94" s="13">
        <v>10.75</v>
      </c>
      <c r="K94" s="13">
        <v>10.68</v>
      </c>
      <c r="L94" s="13">
        <v>11.13</v>
      </c>
      <c r="M94" s="20"/>
      <c r="N94" s="20">
        <v>3</v>
      </c>
      <c r="O94" s="13">
        <f t="shared" si="51"/>
        <v>88.94</v>
      </c>
      <c r="P94" s="13">
        <f t="shared" si="48"/>
        <v>89.25</v>
      </c>
      <c r="Q94" s="13">
        <f t="shared" si="49"/>
        <v>89.32</v>
      </c>
      <c r="R94" s="13">
        <f t="shared" si="50"/>
        <v>88.87</v>
      </c>
      <c r="S94" s="15">
        <f t="shared" si="52"/>
        <v>89.094999999999999</v>
      </c>
      <c r="T94" s="6"/>
      <c r="U94" s="6">
        <v>3</v>
      </c>
      <c r="V94" s="13">
        <f t="shared" si="53"/>
        <v>5.6098209158771173</v>
      </c>
      <c r="W94" s="13">
        <f t="shared" si="54"/>
        <v>5.6293739233419462</v>
      </c>
      <c r="X94" s="13">
        <f t="shared" si="55"/>
        <v>5.6098209158771173</v>
      </c>
      <c r="Y94" s="13">
        <f t="shared" si="56"/>
        <v>5.605405720643124</v>
      </c>
      <c r="Z94" s="15">
        <f t="shared" si="57"/>
        <v>5.6136053689348264</v>
      </c>
      <c r="AA94" s="9"/>
      <c r="AB94" s="9"/>
    </row>
    <row r="95" spans="1:28" x14ac:dyDescent="0.35">
      <c r="A95" s="6"/>
      <c r="B95" s="6">
        <v>4</v>
      </c>
      <c r="C95" s="13">
        <v>10.06</v>
      </c>
      <c r="D95" s="13">
        <v>10.81</v>
      </c>
      <c r="E95" s="13">
        <v>8.7100000000000009</v>
      </c>
      <c r="F95" s="13">
        <v>9</v>
      </c>
      <c r="G95" s="6"/>
      <c r="H95" s="6">
        <v>4</v>
      </c>
      <c r="I95" s="13">
        <v>12.89</v>
      </c>
      <c r="J95" s="13">
        <v>12.46</v>
      </c>
      <c r="K95" s="13">
        <v>10.55</v>
      </c>
      <c r="L95" s="13">
        <v>10.11</v>
      </c>
      <c r="M95" s="20"/>
      <c r="N95" s="20">
        <v>4</v>
      </c>
      <c r="O95" s="13">
        <f t="shared" si="51"/>
        <v>87.11</v>
      </c>
      <c r="P95" s="13">
        <f t="shared" si="48"/>
        <v>87.539999999999992</v>
      </c>
      <c r="Q95" s="13">
        <f t="shared" si="49"/>
        <v>89.45</v>
      </c>
      <c r="R95" s="13">
        <f t="shared" si="50"/>
        <v>89.89</v>
      </c>
      <c r="S95" s="15">
        <f t="shared" si="52"/>
        <v>88.497499999999988</v>
      </c>
      <c r="T95" s="6"/>
      <c r="U95" s="6">
        <v>4</v>
      </c>
      <c r="V95" s="13">
        <f t="shared" si="53"/>
        <v>7.862534094171691</v>
      </c>
      <c r="W95" s="13">
        <f t="shared" si="54"/>
        <v>7.9013458225667508</v>
      </c>
      <c r="X95" s="13">
        <f t="shared" si="55"/>
        <v>7.862534094171691</v>
      </c>
      <c r="Y95" s="13">
        <f t="shared" si="56"/>
        <v>8.1134564312374398</v>
      </c>
      <c r="Z95" s="15">
        <f t="shared" si="57"/>
        <v>7.9349676105368925</v>
      </c>
      <c r="AA95" s="9"/>
      <c r="AB95" s="9"/>
    </row>
    <row r="96" spans="1:28" x14ac:dyDescent="0.35">
      <c r="A96" s="6"/>
      <c r="B96" s="6">
        <v>5</v>
      </c>
      <c r="C96" s="13">
        <v>7.52</v>
      </c>
      <c r="D96" s="13">
        <v>9.0299999999999994</v>
      </c>
      <c r="E96" s="13">
        <v>9.27</v>
      </c>
      <c r="F96" s="13">
        <v>9.25</v>
      </c>
      <c r="G96" s="6"/>
      <c r="H96" s="6">
        <v>5</v>
      </c>
      <c r="I96" s="13">
        <v>12.55</v>
      </c>
      <c r="J96" s="13">
        <v>12.33</v>
      </c>
      <c r="K96" s="13">
        <v>10.61</v>
      </c>
      <c r="L96" s="13">
        <v>9.91</v>
      </c>
      <c r="M96" s="20"/>
      <c r="N96" s="20">
        <v>5</v>
      </c>
      <c r="O96" s="13">
        <f t="shared" si="51"/>
        <v>87.45</v>
      </c>
      <c r="P96" s="13">
        <f t="shared" si="48"/>
        <v>87.67</v>
      </c>
      <c r="Q96" s="13">
        <f t="shared" si="49"/>
        <v>89.39</v>
      </c>
      <c r="R96" s="13">
        <f t="shared" si="50"/>
        <v>90.09</v>
      </c>
      <c r="S96" s="15">
        <f t="shared" si="52"/>
        <v>88.65</v>
      </c>
      <c r="T96" s="6"/>
      <c r="U96" s="6">
        <v>5</v>
      </c>
      <c r="V96" s="13">
        <f t="shared" si="53"/>
        <v>5.9003014642549525</v>
      </c>
      <c r="W96" s="13">
        <f t="shared" si="54"/>
        <v>5.9151449899511901</v>
      </c>
      <c r="X96" s="13">
        <f t="shared" si="55"/>
        <v>5.9003014642549525</v>
      </c>
      <c r="Y96" s="13">
        <f t="shared" si="56"/>
        <v>6.0784237726098187</v>
      </c>
      <c r="Z96" s="15">
        <f t="shared" si="57"/>
        <v>5.9485429227677287</v>
      </c>
      <c r="AA96" s="9"/>
      <c r="AB96" s="9"/>
    </row>
    <row r="97" spans="1:28" x14ac:dyDescent="0.35">
      <c r="A97" s="11" t="s">
        <v>19</v>
      </c>
      <c r="B97" s="6">
        <v>6</v>
      </c>
      <c r="C97" s="13">
        <v>9.36</v>
      </c>
      <c r="D97" s="13">
        <v>10.67</v>
      </c>
      <c r="E97" s="13">
        <v>9.1999999999999993</v>
      </c>
      <c r="F97" s="13">
        <v>8.66</v>
      </c>
      <c r="G97" s="11" t="s">
        <v>19</v>
      </c>
      <c r="H97" s="6">
        <v>6</v>
      </c>
      <c r="I97" s="13">
        <v>12.05</v>
      </c>
      <c r="J97" s="13">
        <v>12.28</v>
      </c>
      <c r="K97" s="13">
        <v>10.42</v>
      </c>
      <c r="L97" s="13">
        <v>11.9</v>
      </c>
      <c r="M97" s="11" t="s">
        <v>19</v>
      </c>
      <c r="N97" s="20">
        <v>6</v>
      </c>
      <c r="O97" s="13">
        <f t="shared" si="51"/>
        <v>87.95</v>
      </c>
      <c r="P97" s="13">
        <f t="shared" si="48"/>
        <v>87.72</v>
      </c>
      <c r="Q97" s="13">
        <f t="shared" si="49"/>
        <v>89.58</v>
      </c>
      <c r="R97" s="13">
        <f t="shared" si="50"/>
        <v>88.1</v>
      </c>
      <c r="S97" s="15">
        <f t="shared" si="52"/>
        <v>88.337500000000006</v>
      </c>
      <c r="T97" s="11" t="s">
        <v>19</v>
      </c>
      <c r="U97" s="6">
        <v>6</v>
      </c>
      <c r="V97" s="13">
        <f t="shared" si="53"/>
        <v>7.3859819121447021</v>
      </c>
      <c r="W97" s="13">
        <f t="shared" si="54"/>
        <v>7.3666666666666645</v>
      </c>
      <c r="X97" s="13">
        <f t="shared" si="55"/>
        <v>7.3859819121447021</v>
      </c>
      <c r="Y97" s="13">
        <f t="shared" si="56"/>
        <v>7.3985788113695072</v>
      </c>
      <c r="Z97" s="15">
        <f t="shared" si="57"/>
        <v>7.3843023255813938</v>
      </c>
      <c r="AA97" s="9"/>
      <c r="AB97" s="9"/>
    </row>
    <row r="98" spans="1:28" x14ac:dyDescent="0.35">
      <c r="A98" s="6" t="s">
        <v>20</v>
      </c>
      <c r="B98" s="6">
        <v>7</v>
      </c>
      <c r="C98" s="13">
        <v>9.27</v>
      </c>
      <c r="D98" s="13">
        <v>9.98</v>
      </c>
      <c r="E98" s="13">
        <v>8.06</v>
      </c>
      <c r="F98" s="13">
        <v>8.5</v>
      </c>
      <c r="G98" s="6" t="s">
        <v>20</v>
      </c>
      <c r="H98" s="6">
        <v>7</v>
      </c>
      <c r="I98" s="13">
        <v>11.35</v>
      </c>
      <c r="J98" s="13">
        <v>11.15</v>
      </c>
      <c r="K98" s="13">
        <v>8.77</v>
      </c>
      <c r="L98" s="13">
        <v>9.83</v>
      </c>
      <c r="M98" s="20" t="s">
        <v>20</v>
      </c>
      <c r="N98" s="20">
        <v>7</v>
      </c>
      <c r="O98" s="13">
        <f t="shared" si="51"/>
        <v>88.65</v>
      </c>
      <c r="P98" s="13">
        <f t="shared" si="48"/>
        <v>88.85</v>
      </c>
      <c r="Q98" s="13">
        <f t="shared" si="49"/>
        <v>91.23</v>
      </c>
      <c r="R98" s="13">
        <f t="shared" si="50"/>
        <v>90.17</v>
      </c>
      <c r="S98" s="15">
        <f t="shared" si="52"/>
        <v>89.725000000000009</v>
      </c>
      <c r="T98" s="6" t="s">
        <v>20</v>
      </c>
      <c r="U98" s="6">
        <v>7</v>
      </c>
      <c r="V98" s="13">
        <f t="shared" si="53"/>
        <v>7.3731831395348832</v>
      </c>
      <c r="W98" s="13">
        <f t="shared" si="54"/>
        <v>7.3898175064599467</v>
      </c>
      <c r="X98" s="13">
        <f t="shared" si="55"/>
        <v>7.3731831395348832</v>
      </c>
      <c r="Y98" s="13">
        <f t="shared" si="56"/>
        <v>7.4996043281653746</v>
      </c>
      <c r="Z98" s="15">
        <f t="shared" si="57"/>
        <v>7.4089470284237722</v>
      </c>
      <c r="AA98" s="9"/>
      <c r="AB98" s="9"/>
    </row>
    <row r="99" spans="1:28" x14ac:dyDescent="0.35">
      <c r="A99" s="6"/>
      <c r="B99" s="6">
        <v>8</v>
      </c>
      <c r="C99" s="13">
        <v>8.8000000000000007</v>
      </c>
      <c r="D99" s="13">
        <v>10.1</v>
      </c>
      <c r="E99" s="13">
        <v>7.33</v>
      </c>
      <c r="F99" s="13">
        <v>10.09</v>
      </c>
      <c r="G99" s="6"/>
      <c r="H99" s="6">
        <v>8</v>
      </c>
      <c r="I99" s="13">
        <v>12.51</v>
      </c>
      <c r="J99" s="13">
        <v>12.41</v>
      </c>
      <c r="K99" s="13">
        <v>11.83</v>
      </c>
      <c r="L99" s="13">
        <v>11.53</v>
      </c>
      <c r="M99" s="20"/>
      <c r="N99" s="20">
        <v>8</v>
      </c>
      <c r="O99" s="13">
        <f t="shared" si="51"/>
        <v>87.49</v>
      </c>
      <c r="P99" s="13">
        <f t="shared" si="48"/>
        <v>87.59</v>
      </c>
      <c r="Q99" s="13">
        <f t="shared" si="49"/>
        <v>88.17</v>
      </c>
      <c r="R99" s="13">
        <f t="shared" si="50"/>
        <v>88.47</v>
      </c>
      <c r="S99" s="15">
        <f t="shared" si="52"/>
        <v>87.93</v>
      </c>
      <c r="T99" s="6"/>
      <c r="U99" s="6">
        <v>8</v>
      </c>
      <c r="V99" s="13">
        <f t="shared" si="53"/>
        <v>6.9077662934252082</v>
      </c>
      <c r="W99" s="13">
        <f t="shared" si="54"/>
        <v>6.9156617858168259</v>
      </c>
      <c r="X99" s="13">
        <f t="shared" si="55"/>
        <v>6.9077662934252082</v>
      </c>
      <c r="Y99" s="13">
        <f t="shared" si="56"/>
        <v>6.9851421188630489</v>
      </c>
      <c r="Z99" s="15">
        <f t="shared" si="57"/>
        <v>6.929084122882573</v>
      </c>
      <c r="AA99" s="9"/>
      <c r="AB99" s="9"/>
    </row>
    <row r="100" spans="1:28" x14ac:dyDescent="0.35">
      <c r="A100" s="6"/>
      <c r="B100" s="6">
        <v>9</v>
      </c>
      <c r="C100" s="13">
        <v>10.06</v>
      </c>
      <c r="D100" s="13">
        <v>10.199999999999999</v>
      </c>
      <c r="E100" s="13">
        <v>8.4600000000000009</v>
      </c>
      <c r="F100" s="13">
        <v>7.89</v>
      </c>
      <c r="G100" s="6"/>
      <c r="H100" s="6">
        <v>9</v>
      </c>
      <c r="I100" s="13">
        <v>12.94</v>
      </c>
      <c r="J100" s="13">
        <v>12.36</v>
      </c>
      <c r="K100" s="13">
        <v>10.07</v>
      </c>
      <c r="L100" s="13">
        <v>10.79</v>
      </c>
      <c r="M100" s="20"/>
      <c r="N100" s="20">
        <v>9</v>
      </c>
      <c r="O100" s="13">
        <f t="shared" si="51"/>
        <v>87.06</v>
      </c>
      <c r="P100" s="13">
        <f t="shared" si="48"/>
        <v>87.64</v>
      </c>
      <c r="Q100" s="13">
        <f t="shared" si="49"/>
        <v>89.93</v>
      </c>
      <c r="R100" s="13">
        <f t="shared" si="50"/>
        <v>89.210000000000008</v>
      </c>
      <c r="S100" s="15">
        <f t="shared" si="52"/>
        <v>88.460000000000008</v>
      </c>
      <c r="T100" s="6"/>
      <c r="U100" s="6">
        <v>9</v>
      </c>
      <c r="V100" s="13">
        <f t="shared" si="53"/>
        <v>7.8580211024978466</v>
      </c>
      <c r="W100" s="13">
        <f t="shared" si="54"/>
        <v>7.9103718059144414</v>
      </c>
      <c r="X100" s="13">
        <f t="shared" si="55"/>
        <v>7.8580211024978466</v>
      </c>
      <c r="Y100" s="13">
        <f t="shared" si="56"/>
        <v>8.0520797444731542</v>
      </c>
      <c r="Z100" s="15">
        <f t="shared" si="57"/>
        <v>7.9196234388458224</v>
      </c>
      <c r="AA100" s="9"/>
      <c r="AB100" s="9"/>
    </row>
    <row r="101" spans="1:28" x14ac:dyDescent="0.35">
      <c r="A101" s="6"/>
      <c r="B101" s="6">
        <v>10</v>
      </c>
      <c r="C101" s="13">
        <v>9.57</v>
      </c>
      <c r="D101" s="13">
        <v>10.9</v>
      </c>
      <c r="E101" s="13">
        <v>8.64</v>
      </c>
      <c r="F101" s="13">
        <v>11.03</v>
      </c>
      <c r="G101" s="6"/>
      <c r="H101" s="6">
        <v>10</v>
      </c>
      <c r="I101" s="13">
        <v>11.64</v>
      </c>
      <c r="J101" s="13">
        <v>11.77</v>
      </c>
      <c r="K101" s="13">
        <v>8.08</v>
      </c>
      <c r="L101" s="13">
        <v>10.96</v>
      </c>
      <c r="M101" s="20"/>
      <c r="N101" s="20">
        <v>10</v>
      </c>
      <c r="O101" s="13">
        <f t="shared" si="51"/>
        <v>88.36</v>
      </c>
      <c r="P101" s="13">
        <f t="shared" si="48"/>
        <v>88.23</v>
      </c>
      <c r="Q101" s="13">
        <f t="shared" si="49"/>
        <v>91.92</v>
      </c>
      <c r="R101" s="13">
        <f t="shared" si="50"/>
        <v>89.039999999999992</v>
      </c>
      <c r="S101" s="15">
        <f t="shared" si="52"/>
        <v>89.387499999999989</v>
      </c>
      <c r="T101" s="6"/>
      <c r="U101" s="6">
        <v>10</v>
      </c>
      <c r="V101" s="13">
        <f t="shared" si="53"/>
        <v>7.5868970714900943</v>
      </c>
      <c r="W101" s="13">
        <f t="shared" si="54"/>
        <v>7.5757348191214469</v>
      </c>
      <c r="X101" s="13">
        <f t="shared" si="55"/>
        <v>7.5868970714900943</v>
      </c>
      <c r="Y101" s="13">
        <f t="shared" si="56"/>
        <v>7.6452842377260977</v>
      </c>
      <c r="Z101" s="15">
        <f t="shared" si="57"/>
        <v>7.5987032999569335</v>
      </c>
      <c r="AA101" s="9"/>
      <c r="AB101" s="9"/>
    </row>
    <row r="102" spans="1:28" x14ac:dyDescent="0.35">
      <c r="A102" s="6"/>
      <c r="B102" s="6">
        <v>11</v>
      </c>
      <c r="C102" s="13">
        <v>8.7799999999999994</v>
      </c>
      <c r="D102" s="13">
        <v>9.8000000000000007</v>
      </c>
      <c r="E102" s="13">
        <v>8.73</v>
      </c>
      <c r="F102" s="13">
        <v>9.44</v>
      </c>
      <c r="G102" s="6"/>
      <c r="H102" s="6">
        <v>11</v>
      </c>
      <c r="I102" s="13">
        <v>11.58</v>
      </c>
      <c r="J102" s="13">
        <v>11.63</v>
      </c>
      <c r="K102" s="13">
        <v>9.6300000000000008</v>
      </c>
      <c r="L102" s="13">
        <v>10.01</v>
      </c>
      <c r="M102" s="20"/>
      <c r="N102" s="20">
        <v>11</v>
      </c>
      <c r="O102" s="13">
        <f t="shared" si="51"/>
        <v>88.42</v>
      </c>
      <c r="P102" s="13">
        <f t="shared" si="48"/>
        <v>88.37</v>
      </c>
      <c r="Q102" s="13">
        <f t="shared" si="49"/>
        <v>90.37</v>
      </c>
      <c r="R102" s="13">
        <f t="shared" si="50"/>
        <v>89.99</v>
      </c>
      <c r="S102" s="15">
        <f t="shared" si="52"/>
        <v>89.287500000000009</v>
      </c>
      <c r="T102" s="6"/>
      <c r="U102" s="6">
        <v>11</v>
      </c>
      <c r="V102" s="13">
        <f t="shared" si="53"/>
        <v>6.9653280218202687</v>
      </c>
      <c r="W102" s="13">
        <f t="shared" si="54"/>
        <v>6.961389247774906</v>
      </c>
      <c r="X102" s="13">
        <f t="shared" si="55"/>
        <v>6.9653280218202687</v>
      </c>
      <c r="Y102" s="13">
        <f t="shared" si="56"/>
        <v>7.089005526844673</v>
      </c>
      <c r="Z102" s="15">
        <f t="shared" si="57"/>
        <v>6.9952627045650289</v>
      </c>
      <c r="AA102" s="9"/>
      <c r="AB102" s="9"/>
    </row>
    <row r="103" spans="1:28" x14ac:dyDescent="0.35">
      <c r="A103" s="6"/>
      <c r="B103" s="6">
        <v>12</v>
      </c>
      <c r="C103" s="13">
        <v>9.39</v>
      </c>
      <c r="D103" s="13">
        <v>9.7100000000000009</v>
      </c>
      <c r="E103" s="13">
        <v>8.3800000000000008</v>
      </c>
      <c r="F103" s="13">
        <v>10.24</v>
      </c>
      <c r="G103" s="6"/>
      <c r="H103" s="6">
        <v>12</v>
      </c>
      <c r="I103" s="13">
        <v>13.56</v>
      </c>
      <c r="J103" s="13">
        <v>11.55</v>
      </c>
      <c r="K103" s="13">
        <v>10.93</v>
      </c>
      <c r="L103" s="13">
        <v>10.35</v>
      </c>
      <c r="M103" s="20"/>
      <c r="N103" s="20">
        <v>12</v>
      </c>
      <c r="O103" s="13">
        <f t="shared" si="51"/>
        <v>86.44</v>
      </c>
      <c r="P103" s="13">
        <f t="shared" si="48"/>
        <v>88.45</v>
      </c>
      <c r="Q103" s="13">
        <f t="shared" si="49"/>
        <v>89.07</v>
      </c>
      <c r="R103" s="13">
        <f t="shared" si="50"/>
        <v>89.65</v>
      </c>
      <c r="S103" s="15">
        <f t="shared" si="52"/>
        <v>88.402500000000003</v>
      </c>
      <c r="T103" s="6"/>
      <c r="U103" s="6">
        <v>12</v>
      </c>
      <c r="V103" s="13">
        <f t="shared" si="53"/>
        <v>7.2824397071490088</v>
      </c>
      <c r="W103" s="13">
        <f t="shared" si="54"/>
        <v>7.4517791774332478</v>
      </c>
      <c r="X103" s="13">
        <f t="shared" si="55"/>
        <v>7.2824397071490088</v>
      </c>
      <c r="Y103" s="13">
        <f t="shared" si="56"/>
        <v>7.5528773686477173</v>
      </c>
      <c r="Z103" s="15">
        <f t="shared" si="57"/>
        <v>7.3923839900947454</v>
      </c>
      <c r="AA103" s="9"/>
      <c r="AB103" s="9"/>
    </row>
    <row r="104" spans="1:28" x14ac:dyDescent="0.35">
      <c r="A104" s="6"/>
      <c r="B104" s="6">
        <v>13</v>
      </c>
      <c r="C104" s="13">
        <v>8.94</v>
      </c>
      <c r="D104" s="13">
        <v>8.6999999999999993</v>
      </c>
      <c r="E104" s="13">
        <v>8.59</v>
      </c>
      <c r="F104" s="13">
        <v>8.69</v>
      </c>
      <c r="G104" s="6"/>
      <c r="H104" s="6">
        <v>13</v>
      </c>
      <c r="I104" s="13">
        <v>11.81</v>
      </c>
      <c r="J104" s="13">
        <v>11.46</v>
      </c>
      <c r="K104" s="13">
        <v>9.61</v>
      </c>
      <c r="L104" s="13">
        <v>11.13</v>
      </c>
      <c r="M104" s="20"/>
      <c r="N104" s="20">
        <v>13</v>
      </c>
      <c r="O104" s="13">
        <f t="shared" si="51"/>
        <v>88.19</v>
      </c>
      <c r="P104" s="13">
        <f t="shared" si="48"/>
        <v>88.539999999999992</v>
      </c>
      <c r="Q104" s="13">
        <f t="shared" si="49"/>
        <v>90.39</v>
      </c>
      <c r="R104" s="13">
        <f t="shared" si="50"/>
        <v>88.87</v>
      </c>
      <c r="S104" s="15">
        <f t="shared" si="52"/>
        <v>88.997500000000002</v>
      </c>
      <c r="T104" s="6"/>
      <c r="U104" s="6">
        <v>13</v>
      </c>
      <c r="V104" s="13">
        <f t="shared" si="53"/>
        <v>7.0738102928509896</v>
      </c>
      <c r="W104" s="13">
        <f t="shared" si="54"/>
        <v>7.1018841515934517</v>
      </c>
      <c r="X104" s="13">
        <f t="shared" si="55"/>
        <v>7.0738102928509896</v>
      </c>
      <c r="Y104" s="13">
        <f t="shared" si="56"/>
        <v>7.1283537898363472</v>
      </c>
      <c r="Z104" s="15">
        <f t="shared" si="57"/>
        <v>7.0944646317829445</v>
      </c>
      <c r="AA104" s="9"/>
      <c r="AB104" s="9"/>
    </row>
    <row r="105" spans="1:28" x14ac:dyDescent="0.35">
      <c r="A105" s="6"/>
      <c r="B105" s="6">
        <v>14</v>
      </c>
      <c r="C105" s="13">
        <v>10.29</v>
      </c>
      <c r="D105" s="13">
        <v>9.0399999999999991</v>
      </c>
      <c r="E105" s="13">
        <v>8.8800000000000008</v>
      </c>
      <c r="F105" s="13">
        <v>7.26</v>
      </c>
      <c r="G105" s="6"/>
      <c r="H105" s="6">
        <v>14</v>
      </c>
      <c r="I105" s="13">
        <v>11.62</v>
      </c>
      <c r="J105" s="13">
        <v>11.24</v>
      </c>
      <c r="K105" s="13">
        <v>10.36</v>
      </c>
      <c r="L105" s="13">
        <v>9.01</v>
      </c>
      <c r="M105" s="20"/>
      <c r="N105" s="20">
        <v>14</v>
      </c>
      <c r="O105" s="13">
        <f t="shared" si="51"/>
        <v>88.38</v>
      </c>
      <c r="P105" s="13">
        <f t="shared" si="48"/>
        <v>88.76</v>
      </c>
      <c r="Q105" s="13">
        <f t="shared" si="49"/>
        <v>89.64</v>
      </c>
      <c r="R105" s="13">
        <f t="shared" si="50"/>
        <v>90.99</v>
      </c>
      <c r="S105" s="15">
        <f t="shared" si="52"/>
        <v>89.442499999999995</v>
      </c>
      <c r="T105" s="6"/>
      <c r="U105" s="6">
        <v>14</v>
      </c>
      <c r="V105" s="13">
        <f t="shared" si="53"/>
        <v>8.1595445736434087</v>
      </c>
      <c r="W105" s="13">
        <f t="shared" si="54"/>
        <v>8.1946274763135225</v>
      </c>
      <c r="X105" s="13">
        <f t="shared" si="55"/>
        <v>8.1595445736434087</v>
      </c>
      <c r="Y105" s="13">
        <f t="shared" si="56"/>
        <v>8.4005087209302314</v>
      </c>
      <c r="Z105" s="15">
        <f t="shared" si="57"/>
        <v>8.2285563361326428</v>
      </c>
      <c r="AA105" s="9"/>
      <c r="AB105" s="9"/>
    </row>
    <row r="106" spans="1:28" x14ac:dyDescent="0.35">
      <c r="A106" s="6"/>
      <c r="B106" s="6">
        <v>15</v>
      </c>
      <c r="C106" s="13">
        <v>10.59</v>
      </c>
      <c r="D106" s="13">
        <v>8.4700000000000006</v>
      </c>
      <c r="E106" s="13">
        <v>8.8699999999999992</v>
      </c>
      <c r="F106" s="13">
        <v>9.26</v>
      </c>
      <c r="G106" s="6"/>
      <c r="H106" s="6">
        <v>15</v>
      </c>
      <c r="I106" s="13">
        <v>12.48</v>
      </c>
      <c r="J106" s="13">
        <v>11.95</v>
      </c>
      <c r="K106" s="13">
        <v>11.05</v>
      </c>
      <c r="L106" s="13">
        <v>9.49</v>
      </c>
      <c r="M106" s="20"/>
      <c r="N106" s="20">
        <v>15</v>
      </c>
      <c r="O106" s="13">
        <f t="shared" si="51"/>
        <v>87.52</v>
      </c>
      <c r="P106" s="13">
        <f t="shared" si="48"/>
        <v>88.05</v>
      </c>
      <c r="Q106" s="13">
        <f t="shared" si="49"/>
        <v>88.95</v>
      </c>
      <c r="R106" s="13">
        <f t="shared" si="50"/>
        <v>90.51</v>
      </c>
      <c r="S106" s="15">
        <f t="shared" si="52"/>
        <v>88.757499999999993</v>
      </c>
      <c r="T106" s="6"/>
      <c r="U106" s="6">
        <v>15</v>
      </c>
      <c r="V106" s="13">
        <f t="shared" si="53"/>
        <v>8.3157192075796722</v>
      </c>
      <c r="W106" s="13">
        <f t="shared" si="54"/>
        <v>8.3660771963824274</v>
      </c>
      <c r="X106" s="13">
        <f t="shared" si="55"/>
        <v>8.3157192075796722</v>
      </c>
      <c r="Y106" s="13">
        <f t="shared" si="56"/>
        <v>8.5998142764857874</v>
      </c>
      <c r="Z106" s="15">
        <f t="shared" si="57"/>
        <v>8.3993324720068898</v>
      </c>
      <c r="AA106" s="9"/>
      <c r="AB106" s="9"/>
    </row>
    <row r="107" spans="1:28" x14ac:dyDescent="0.35">
      <c r="A107" s="6"/>
      <c r="B107" s="6"/>
      <c r="C107" s="13"/>
      <c r="D107" s="13"/>
      <c r="E107" s="13"/>
      <c r="F107" s="13"/>
      <c r="G107" s="6"/>
      <c r="H107" s="6"/>
      <c r="I107" s="13"/>
      <c r="J107" s="13"/>
      <c r="K107" s="13"/>
      <c r="L107" s="13"/>
      <c r="M107" s="20"/>
      <c r="N107" s="20"/>
      <c r="O107" s="13"/>
      <c r="P107" s="13"/>
      <c r="Q107" s="13"/>
      <c r="R107" s="13"/>
      <c r="S107" s="9"/>
      <c r="T107" s="6"/>
      <c r="U107" s="6"/>
      <c r="V107" s="13"/>
      <c r="W107" s="13"/>
      <c r="X107" s="13"/>
      <c r="Y107" s="13"/>
      <c r="Z107" s="9"/>
      <c r="AA107" s="9"/>
      <c r="AB107" s="9"/>
    </row>
    <row r="108" spans="1:28" x14ac:dyDescent="0.35">
      <c r="A108" s="6"/>
      <c r="B108" s="6"/>
      <c r="C108" s="6" t="s">
        <v>4</v>
      </c>
      <c r="D108" s="6" t="s">
        <v>5</v>
      </c>
      <c r="E108" s="6" t="s">
        <v>6</v>
      </c>
      <c r="F108" s="6" t="s">
        <v>7</v>
      </c>
      <c r="G108" s="6"/>
      <c r="H108" s="6"/>
      <c r="I108" s="6" t="s">
        <v>4</v>
      </c>
      <c r="J108" s="6" t="s">
        <v>5</v>
      </c>
      <c r="K108" s="6" t="s">
        <v>6</v>
      </c>
      <c r="L108" s="6" t="s">
        <v>7</v>
      </c>
      <c r="M108" s="20"/>
      <c r="N108" s="20"/>
      <c r="O108" s="20" t="s">
        <v>4</v>
      </c>
      <c r="P108" s="20" t="s">
        <v>5</v>
      </c>
      <c r="Q108" s="20" t="s">
        <v>6</v>
      </c>
      <c r="R108" s="20" t="s">
        <v>7</v>
      </c>
      <c r="S108" s="12" t="s">
        <v>8</v>
      </c>
      <c r="T108" s="6"/>
      <c r="U108" s="6"/>
      <c r="V108" s="6" t="s">
        <v>4</v>
      </c>
      <c r="W108" s="6" t="s">
        <v>5</v>
      </c>
      <c r="X108" s="6" t="s">
        <v>6</v>
      </c>
      <c r="Y108" s="6" t="s">
        <v>7</v>
      </c>
      <c r="Z108" s="12" t="s">
        <v>8</v>
      </c>
      <c r="AA108" s="9"/>
      <c r="AB108" s="9"/>
    </row>
    <row r="109" spans="1:28" x14ac:dyDescent="0.35">
      <c r="A109" s="6"/>
      <c r="B109" s="6">
        <v>1</v>
      </c>
      <c r="C109" s="13">
        <v>6.37</v>
      </c>
      <c r="D109" s="13">
        <v>6.59</v>
      </c>
      <c r="E109" s="13">
        <v>7.5</v>
      </c>
      <c r="F109" s="13">
        <v>6.65</v>
      </c>
      <c r="G109" s="6"/>
      <c r="H109" s="6">
        <v>1</v>
      </c>
      <c r="I109" s="13">
        <v>12.99</v>
      </c>
      <c r="J109" s="13">
        <v>13.07</v>
      </c>
      <c r="K109" s="13">
        <v>12.69</v>
      </c>
      <c r="L109" s="13">
        <v>12.36</v>
      </c>
      <c r="M109" s="20"/>
      <c r="N109" s="20">
        <v>1</v>
      </c>
      <c r="O109" s="13">
        <f>+(100-I109)</f>
        <v>87.01</v>
      </c>
      <c r="P109" s="13">
        <f t="shared" ref="P109:P123" si="58">+(100-J109)</f>
        <v>86.93</v>
      </c>
      <c r="Q109" s="13">
        <f t="shared" ref="Q109:Q123" si="59">+(100-K109)</f>
        <v>87.31</v>
      </c>
      <c r="R109" s="13">
        <f t="shared" ref="R109:R123" si="60">+(100-L109)</f>
        <v>87.64</v>
      </c>
      <c r="S109" s="15">
        <f>AVERAGE(O109:R109)</f>
        <v>87.222499999999997</v>
      </c>
      <c r="T109" s="6"/>
      <c r="U109" s="6">
        <v>1</v>
      </c>
      <c r="V109" s="13">
        <f>+(((C109*O109)/86)/12.96)*10</f>
        <v>4.9728475811082404</v>
      </c>
      <c r="W109" s="13">
        <f>+(((C109*P109)/86)/12.96)*10</f>
        <v>4.9682753732414584</v>
      </c>
      <c r="X109" s="13">
        <f>+(((C109*O109)/86)/12.96)*10</f>
        <v>4.9728475811082404</v>
      </c>
      <c r="Y109" s="13">
        <f>+(((C109*R109)/86)/12.96)*10</f>
        <v>5.0088537180591439</v>
      </c>
      <c r="Z109" s="15">
        <f>AVERAGE(V109:Y109)</f>
        <v>4.9807060633792704</v>
      </c>
      <c r="AA109" s="9"/>
      <c r="AB109" s="9"/>
    </row>
    <row r="110" spans="1:28" x14ac:dyDescent="0.35">
      <c r="A110" s="6"/>
      <c r="B110" s="6">
        <v>2</v>
      </c>
      <c r="C110" s="13">
        <v>7.72</v>
      </c>
      <c r="D110" s="13">
        <v>8.1999999999999993</v>
      </c>
      <c r="E110" s="13">
        <v>9.43</v>
      </c>
      <c r="F110" s="13">
        <v>6.05</v>
      </c>
      <c r="G110" s="6"/>
      <c r="H110" s="6">
        <v>2</v>
      </c>
      <c r="I110" s="13">
        <v>9.66</v>
      </c>
      <c r="J110" s="13">
        <v>10.66</v>
      </c>
      <c r="K110" s="13">
        <v>11.17</v>
      </c>
      <c r="L110" s="13">
        <v>10.41</v>
      </c>
      <c r="M110" s="20"/>
      <c r="N110" s="20">
        <v>2</v>
      </c>
      <c r="O110" s="13">
        <f t="shared" ref="O110:O123" si="61">+(100-I110)</f>
        <v>90.34</v>
      </c>
      <c r="P110" s="13">
        <f t="shared" si="58"/>
        <v>89.34</v>
      </c>
      <c r="Q110" s="13">
        <f t="shared" si="59"/>
        <v>88.83</v>
      </c>
      <c r="R110" s="13">
        <f t="shared" si="60"/>
        <v>89.59</v>
      </c>
      <c r="S110" s="15">
        <f t="shared" ref="S110:S123" si="62">AVERAGE(O110:R110)</f>
        <v>89.525000000000006</v>
      </c>
      <c r="T110" s="6"/>
      <c r="U110" s="6">
        <v>2</v>
      </c>
      <c r="V110" s="13">
        <f t="shared" ref="V110:V123" si="63">+(((C110*O110)/86)/12.96)*10</f>
        <v>6.2574002296870512</v>
      </c>
      <c r="W110" s="13">
        <f t="shared" ref="W110:W123" si="64">+(((C110*P110)/86)/12.96)*10</f>
        <v>6.1881352282515065</v>
      </c>
      <c r="X110" s="13">
        <f t="shared" ref="X110:X123" si="65">+(((C110*O110)/86)/12.96)*10</f>
        <v>6.2574002296870512</v>
      </c>
      <c r="Y110" s="13">
        <f t="shared" ref="Y110:Y123" si="66">+(((C110*R110)/86)/12.96)*10</f>
        <v>6.2054514786103931</v>
      </c>
      <c r="Z110" s="15">
        <f t="shared" ref="Z110:Z123" si="67">AVERAGE(V110:Y110)</f>
        <v>6.2270967915590001</v>
      </c>
      <c r="AA110" s="9"/>
      <c r="AB110" s="9"/>
    </row>
    <row r="111" spans="1:28" x14ac:dyDescent="0.35">
      <c r="A111" s="6"/>
      <c r="B111" s="6">
        <v>3</v>
      </c>
      <c r="C111" s="13">
        <v>8.35</v>
      </c>
      <c r="D111" s="13">
        <v>8.75</v>
      </c>
      <c r="E111" s="13">
        <v>8</v>
      </c>
      <c r="F111" s="13">
        <v>7.57</v>
      </c>
      <c r="G111" s="6"/>
      <c r="H111" s="6">
        <v>3</v>
      </c>
      <c r="I111" s="13">
        <v>10.89</v>
      </c>
      <c r="J111" s="13">
        <v>10.56</v>
      </c>
      <c r="K111" s="13">
        <v>11.26</v>
      </c>
      <c r="L111" s="13">
        <v>10.15</v>
      </c>
      <c r="M111" s="20"/>
      <c r="N111" s="20">
        <v>3</v>
      </c>
      <c r="O111" s="13">
        <f t="shared" si="61"/>
        <v>89.11</v>
      </c>
      <c r="P111" s="13">
        <f t="shared" si="58"/>
        <v>89.44</v>
      </c>
      <c r="Q111" s="13">
        <f t="shared" si="59"/>
        <v>88.74</v>
      </c>
      <c r="R111" s="13">
        <f t="shared" si="60"/>
        <v>89.85</v>
      </c>
      <c r="S111" s="15">
        <f t="shared" si="62"/>
        <v>89.284999999999997</v>
      </c>
      <c r="T111" s="6"/>
      <c r="U111" s="6">
        <v>3</v>
      </c>
      <c r="V111" s="13">
        <f t="shared" si="63"/>
        <v>6.6758945233993678</v>
      </c>
      <c r="W111" s="13">
        <f t="shared" si="64"/>
        <v>6.7006172839506162</v>
      </c>
      <c r="X111" s="13">
        <f t="shared" si="65"/>
        <v>6.6758945233993678</v>
      </c>
      <c r="Y111" s="13">
        <f t="shared" si="66"/>
        <v>6.7313334409991379</v>
      </c>
      <c r="Z111" s="15">
        <f t="shared" si="67"/>
        <v>6.6959349429371224</v>
      </c>
      <c r="AA111" s="9"/>
      <c r="AB111" s="9"/>
    </row>
    <row r="112" spans="1:28" x14ac:dyDescent="0.35">
      <c r="A112" s="6"/>
      <c r="B112" s="6">
        <v>4</v>
      </c>
      <c r="C112" s="13">
        <v>9.64</v>
      </c>
      <c r="D112" s="13">
        <v>9.7100000000000009</v>
      </c>
      <c r="E112" s="13">
        <v>9.83</v>
      </c>
      <c r="F112" s="13">
        <v>8.9499999999999993</v>
      </c>
      <c r="G112" s="6"/>
      <c r="H112" s="6">
        <v>4</v>
      </c>
      <c r="I112" s="13">
        <v>10.4</v>
      </c>
      <c r="J112" s="13">
        <v>10.35</v>
      </c>
      <c r="K112" s="13">
        <v>11.42</v>
      </c>
      <c r="L112" s="13">
        <v>10.72</v>
      </c>
      <c r="M112" s="20"/>
      <c r="N112" s="20">
        <v>4</v>
      </c>
      <c r="O112" s="13">
        <f t="shared" si="61"/>
        <v>89.6</v>
      </c>
      <c r="P112" s="13">
        <f t="shared" si="58"/>
        <v>89.65</v>
      </c>
      <c r="Q112" s="13">
        <f t="shared" si="59"/>
        <v>88.58</v>
      </c>
      <c r="R112" s="13">
        <f t="shared" si="60"/>
        <v>89.28</v>
      </c>
      <c r="S112" s="15">
        <f t="shared" si="62"/>
        <v>89.277500000000003</v>
      </c>
      <c r="T112" s="6"/>
      <c r="U112" s="6">
        <v>4</v>
      </c>
      <c r="V112" s="13">
        <f t="shared" si="63"/>
        <v>7.7496411139821983</v>
      </c>
      <c r="W112" s="13">
        <f t="shared" si="64"/>
        <v>7.753965690496698</v>
      </c>
      <c r="X112" s="13">
        <f t="shared" si="65"/>
        <v>7.7496411139821983</v>
      </c>
      <c r="Y112" s="13">
        <f t="shared" si="66"/>
        <v>7.7219638242894062</v>
      </c>
      <c r="Z112" s="15">
        <f t="shared" si="67"/>
        <v>7.7438029356876248</v>
      </c>
      <c r="AA112" s="9"/>
      <c r="AB112" s="9"/>
    </row>
    <row r="113" spans="1:28" x14ac:dyDescent="0.35">
      <c r="A113" s="6"/>
      <c r="B113" s="6">
        <v>5</v>
      </c>
      <c r="C113" s="13">
        <v>7.88</v>
      </c>
      <c r="D113" s="13">
        <v>8.26</v>
      </c>
      <c r="E113" s="13">
        <v>9.8699999999999992</v>
      </c>
      <c r="F113" s="13">
        <v>8.18</v>
      </c>
      <c r="G113" s="6"/>
      <c r="H113" s="6">
        <v>5</v>
      </c>
      <c r="I113" s="13">
        <v>10.220000000000001</v>
      </c>
      <c r="J113" s="13">
        <v>9.98</v>
      </c>
      <c r="K113" s="13">
        <v>11.72</v>
      </c>
      <c r="L113" s="13">
        <v>10.220000000000001</v>
      </c>
      <c r="M113" s="20"/>
      <c r="N113" s="20">
        <v>5</v>
      </c>
      <c r="O113" s="13">
        <f t="shared" si="61"/>
        <v>89.78</v>
      </c>
      <c r="P113" s="13">
        <f t="shared" si="58"/>
        <v>90.02</v>
      </c>
      <c r="Q113" s="13">
        <f t="shared" si="59"/>
        <v>88.28</v>
      </c>
      <c r="R113" s="13">
        <f t="shared" si="60"/>
        <v>89.78</v>
      </c>
      <c r="S113" s="15">
        <f t="shared" si="62"/>
        <v>89.465000000000003</v>
      </c>
      <c r="T113" s="6"/>
      <c r="U113" s="6">
        <v>5</v>
      </c>
      <c r="V113" s="13">
        <f t="shared" si="63"/>
        <v>6.3474949755957502</v>
      </c>
      <c r="W113" s="13">
        <f t="shared" si="64"/>
        <v>6.3644631065173698</v>
      </c>
      <c r="X113" s="13">
        <f t="shared" si="65"/>
        <v>6.3474949755957502</v>
      </c>
      <c r="Y113" s="13">
        <f t="shared" si="66"/>
        <v>6.3474949755957502</v>
      </c>
      <c r="Z113" s="15">
        <f t="shared" si="67"/>
        <v>6.3517370083261557</v>
      </c>
      <c r="AA113" s="9"/>
      <c r="AB113" s="9"/>
    </row>
    <row r="114" spans="1:28" x14ac:dyDescent="0.35">
      <c r="A114" s="11" t="s">
        <v>21</v>
      </c>
      <c r="B114" s="6">
        <v>6</v>
      </c>
      <c r="C114" s="13">
        <v>8.52</v>
      </c>
      <c r="D114" s="13">
        <v>9.3800000000000008</v>
      </c>
      <c r="E114" s="13">
        <v>10.51</v>
      </c>
      <c r="F114" s="13">
        <v>9.19</v>
      </c>
      <c r="G114" s="11" t="s">
        <v>21</v>
      </c>
      <c r="H114" s="6">
        <v>6</v>
      </c>
      <c r="I114" s="13">
        <v>9.7100000000000009</v>
      </c>
      <c r="J114" s="13">
        <v>10.08</v>
      </c>
      <c r="K114" s="13">
        <v>11.09</v>
      </c>
      <c r="L114" s="13">
        <v>10.58</v>
      </c>
      <c r="M114" s="11" t="s">
        <v>21</v>
      </c>
      <c r="N114" s="20">
        <v>6</v>
      </c>
      <c r="O114" s="13">
        <f t="shared" si="61"/>
        <v>90.289999999999992</v>
      </c>
      <c r="P114" s="13">
        <f t="shared" si="58"/>
        <v>89.92</v>
      </c>
      <c r="Q114" s="13">
        <f t="shared" si="59"/>
        <v>88.91</v>
      </c>
      <c r="R114" s="13">
        <f t="shared" si="60"/>
        <v>89.42</v>
      </c>
      <c r="S114" s="15">
        <f t="shared" si="62"/>
        <v>89.635000000000005</v>
      </c>
      <c r="T114" s="11" t="s">
        <v>21</v>
      </c>
      <c r="U114" s="6">
        <v>6</v>
      </c>
      <c r="V114" s="13">
        <f t="shared" si="63"/>
        <v>6.9020133505598613</v>
      </c>
      <c r="W114" s="13">
        <f t="shared" si="64"/>
        <v>6.8737295434969852</v>
      </c>
      <c r="X114" s="13">
        <f t="shared" si="65"/>
        <v>6.9020133505598613</v>
      </c>
      <c r="Y114" s="13">
        <f t="shared" si="66"/>
        <v>6.8355081826012052</v>
      </c>
      <c r="Z114" s="15">
        <f t="shared" si="67"/>
        <v>6.8783161068044789</v>
      </c>
      <c r="AA114" s="9"/>
      <c r="AB114" s="9"/>
    </row>
    <row r="115" spans="1:28" x14ac:dyDescent="0.35">
      <c r="A115" s="6" t="s">
        <v>22</v>
      </c>
      <c r="B115" s="6">
        <v>7</v>
      </c>
      <c r="C115" s="13">
        <v>7.77</v>
      </c>
      <c r="D115" s="13">
        <v>8.51</v>
      </c>
      <c r="E115" s="13">
        <v>9.35</v>
      </c>
      <c r="F115" s="13">
        <v>8.27</v>
      </c>
      <c r="G115" s="6" t="s">
        <v>22</v>
      </c>
      <c r="H115" s="6">
        <v>7</v>
      </c>
      <c r="I115" s="13">
        <v>9.9499999999999993</v>
      </c>
      <c r="J115" s="13">
        <v>9.56</v>
      </c>
      <c r="K115" s="13">
        <v>10.45</v>
      </c>
      <c r="L115" s="13">
        <v>10.49</v>
      </c>
      <c r="M115" s="20" t="s">
        <v>22</v>
      </c>
      <c r="N115" s="20">
        <v>7</v>
      </c>
      <c r="O115" s="13">
        <f t="shared" si="61"/>
        <v>90.05</v>
      </c>
      <c r="P115" s="13">
        <f t="shared" si="58"/>
        <v>90.44</v>
      </c>
      <c r="Q115" s="13">
        <f t="shared" si="59"/>
        <v>89.55</v>
      </c>
      <c r="R115" s="13">
        <f t="shared" si="60"/>
        <v>89.51</v>
      </c>
      <c r="S115" s="15">
        <f t="shared" si="62"/>
        <v>89.887500000000003</v>
      </c>
      <c r="T115" s="6" t="s">
        <v>22</v>
      </c>
      <c r="U115" s="6">
        <v>7</v>
      </c>
      <c r="V115" s="13">
        <f t="shared" si="63"/>
        <v>6.2777104866494398</v>
      </c>
      <c r="W115" s="13">
        <f t="shared" si="64"/>
        <v>6.3048987941429786</v>
      </c>
      <c r="X115" s="13">
        <f t="shared" si="65"/>
        <v>6.2777104866494398</v>
      </c>
      <c r="Y115" s="13">
        <f t="shared" si="66"/>
        <v>6.2400651378122296</v>
      </c>
      <c r="Z115" s="15">
        <f t="shared" si="67"/>
        <v>6.2750962263135222</v>
      </c>
      <c r="AA115" s="9"/>
      <c r="AB115" s="9"/>
    </row>
    <row r="116" spans="1:28" x14ac:dyDescent="0.35">
      <c r="A116" s="6"/>
      <c r="B116" s="6">
        <v>8</v>
      </c>
      <c r="C116" s="13">
        <v>8.19</v>
      </c>
      <c r="D116" s="13">
        <v>9.18</v>
      </c>
      <c r="E116" s="13">
        <v>9.7799999999999994</v>
      </c>
      <c r="F116" s="13">
        <v>7.82</v>
      </c>
      <c r="G116" s="6"/>
      <c r="H116" s="6">
        <v>8</v>
      </c>
      <c r="I116" s="13">
        <v>11.21</v>
      </c>
      <c r="J116" s="13">
        <v>11.62</v>
      </c>
      <c r="K116" s="13">
        <v>12.37</v>
      </c>
      <c r="L116" s="13">
        <v>10.98</v>
      </c>
      <c r="M116" s="20"/>
      <c r="N116" s="20">
        <v>8</v>
      </c>
      <c r="O116" s="13">
        <f t="shared" si="61"/>
        <v>88.789999999999992</v>
      </c>
      <c r="P116" s="13">
        <f t="shared" si="58"/>
        <v>88.38</v>
      </c>
      <c r="Q116" s="13">
        <f t="shared" si="59"/>
        <v>87.63</v>
      </c>
      <c r="R116" s="13">
        <f t="shared" si="60"/>
        <v>89.02</v>
      </c>
      <c r="S116" s="15">
        <f t="shared" si="62"/>
        <v>88.454999999999984</v>
      </c>
      <c r="T116" s="6"/>
      <c r="U116" s="6">
        <v>8</v>
      </c>
      <c r="V116" s="13">
        <f t="shared" si="63"/>
        <v>6.5244589793281635</v>
      </c>
      <c r="W116" s="13">
        <f t="shared" si="64"/>
        <v>6.4943313953488371</v>
      </c>
      <c r="X116" s="13">
        <f t="shared" si="65"/>
        <v>6.5244589793281635</v>
      </c>
      <c r="Y116" s="13">
        <f t="shared" si="66"/>
        <v>6.5413598191214453</v>
      </c>
      <c r="Z116" s="15">
        <f t="shared" si="67"/>
        <v>6.5211522932816521</v>
      </c>
      <c r="AA116" s="9"/>
      <c r="AB116" s="9"/>
    </row>
    <row r="117" spans="1:28" x14ac:dyDescent="0.35">
      <c r="A117" s="6"/>
      <c r="B117" s="6">
        <v>9</v>
      </c>
      <c r="C117" s="13">
        <v>9.26</v>
      </c>
      <c r="D117" s="13">
        <v>9.49</v>
      </c>
      <c r="E117" s="13">
        <v>10.71</v>
      </c>
      <c r="F117" s="13">
        <v>8.69</v>
      </c>
      <c r="G117" s="6"/>
      <c r="H117" s="6">
        <v>9</v>
      </c>
      <c r="I117" s="13">
        <v>11.52</v>
      </c>
      <c r="J117" s="13">
        <v>11.51</v>
      </c>
      <c r="K117" s="13">
        <v>12.05</v>
      </c>
      <c r="L117" s="13">
        <v>11.6</v>
      </c>
      <c r="M117" s="20"/>
      <c r="N117" s="20">
        <v>9</v>
      </c>
      <c r="O117" s="13">
        <f t="shared" si="61"/>
        <v>88.48</v>
      </c>
      <c r="P117" s="13">
        <f t="shared" si="58"/>
        <v>88.49</v>
      </c>
      <c r="Q117" s="13">
        <f t="shared" si="59"/>
        <v>87.95</v>
      </c>
      <c r="R117" s="13">
        <f t="shared" si="60"/>
        <v>88.4</v>
      </c>
      <c r="S117" s="15">
        <f t="shared" si="62"/>
        <v>88.330000000000013</v>
      </c>
      <c r="T117" s="6"/>
      <c r="U117" s="6">
        <v>9</v>
      </c>
      <c r="V117" s="13">
        <f t="shared" si="63"/>
        <v>7.3511053689348262</v>
      </c>
      <c r="W117" s="13">
        <f t="shared" si="64"/>
        <v>7.3519361900660343</v>
      </c>
      <c r="X117" s="13">
        <f t="shared" si="65"/>
        <v>7.3511053689348262</v>
      </c>
      <c r="Y117" s="13">
        <f t="shared" si="66"/>
        <v>7.3444587998851567</v>
      </c>
      <c r="Z117" s="15">
        <f t="shared" si="67"/>
        <v>7.3496514319552109</v>
      </c>
      <c r="AA117" s="9"/>
      <c r="AB117" s="9"/>
    </row>
    <row r="118" spans="1:28" x14ac:dyDescent="0.35">
      <c r="A118" s="6"/>
      <c r="B118" s="6">
        <v>10</v>
      </c>
      <c r="C118" s="13">
        <v>10.210000000000001</v>
      </c>
      <c r="D118" s="13">
        <v>10.35</v>
      </c>
      <c r="E118" s="13">
        <v>10.34</v>
      </c>
      <c r="F118" s="13">
        <v>9.59</v>
      </c>
      <c r="G118" s="6"/>
      <c r="H118" s="6">
        <v>10</v>
      </c>
      <c r="I118" s="13">
        <v>10.53</v>
      </c>
      <c r="J118" s="13">
        <v>10.74</v>
      </c>
      <c r="K118" s="13">
        <v>11.52</v>
      </c>
      <c r="L118" s="13">
        <v>10.92</v>
      </c>
      <c r="M118" s="20"/>
      <c r="N118" s="20">
        <v>10</v>
      </c>
      <c r="O118" s="13">
        <f t="shared" si="61"/>
        <v>89.47</v>
      </c>
      <c r="P118" s="13">
        <f t="shared" si="58"/>
        <v>89.26</v>
      </c>
      <c r="Q118" s="13">
        <f t="shared" si="59"/>
        <v>88.48</v>
      </c>
      <c r="R118" s="13">
        <f t="shared" si="60"/>
        <v>89.08</v>
      </c>
      <c r="S118" s="15">
        <f t="shared" si="62"/>
        <v>89.072500000000005</v>
      </c>
      <c r="T118" s="6"/>
      <c r="U118" s="6">
        <v>10</v>
      </c>
      <c r="V118" s="13">
        <f t="shared" si="63"/>
        <v>8.1959580462245203</v>
      </c>
      <c r="W118" s="13">
        <f t="shared" si="64"/>
        <v>8.1767208584553561</v>
      </c>
      <c r="X118" s="13">
        <f t="shared" si="65"/>
        <v>8.1959580462245203</v>
      </c>
      <c r="Y118" s="13">
        <f t="shared" si="66"/>
        <v>8.1602318403674996</v>
      </c>
      <c r="Z118" s="15">
        <f t="shared" si="67"/>
        <v>8.182217197817975</v>
      </c>
      <c r="AA118" s="9"/>
      <c r="AB118" s="9"/>
    </row>
    <row r="119" spans="1:28" x14ac:dyDescent="0.35">
      <c r="A119" s="6"/>
      <c r="B119" s="6">
        <v>11</v>
      </c>
      <c r="C119" s="13">
        <v>9.6300000000000008</v>
      </c>
      <c r="D119" s="13">
        <v>10.039999999999999</v>
      </c>
      <c r="E119" s="13">
        <v>10.43</v>
      </c>
      <c r="F119" s="13">
        <v>9.61</v>
      </c>
      <c r="G119" s="6"/>
      <c r="H119" s="6">
        <v>11</v>
      </c>
      <c r="I119" s="13">
        <v>10.51</v>
      </c>
      <c r="J119" s="13">
        <v>10.95</v>
      </c>
      <c r="K119" s="13">
        <v>10.54</v>
      </c>
      <c r="L119" s="13">
        <v>10.84</v>
      </c>
      <c r="M119" s="20"/>
      <c r="N119" s="20">
        <v>11</v>
      </c>
      <c r="O119" s="13">
        <f t="shared" si="61"/>
        <v>89.49</v>
      </c>
      <c r="P119" s="13">
        <f t="shared" si="58"/>
        <v>89.05</v>
      </c>
      <c r="Q119" s="13">
        <f t="shared" si="59"/>
        <v>89.460000000000008</v>
      </c>
      <c r="R119" s="13">
        <f t="shared" si="60"/>
        <v>89.16</v>
      </c>
      <c r="S119" s="15">
        <f t="shared" si="62"/>
        <v>89.289999999999992</v>
      </c>
      <c r="T119" s="6"/>
      <c r="U119" s="6">
        <v>11</v>
      </c>
      <c r="V119" s="13">
        <f t="shared" si="63"/>
        <v>7.7320978682170551</v>
      </c>
      <c r="W119" s="13">
        <f t="shared" si="64"/>
        <v>7.6940810723514206</v>
      </c>
      <c r="X119" s="13">
        <f t="shared" si="65"/>
        <v>7.7320978682170551</v>
      </c>
      <c r="Y119" s="13">
        <f t="shared" si="66"/>
        <v>7.7035852713178299</v>
      </c>
      <c r="Z119" s="15">
        <f t="shared" si="67"/>
        <v>7.7154655200258402</v>
      </c>
      <c r="AA119" s="9"/>
      <c r="AB119" s="9"/>
    </row>
    <row r="120" spans="1:28" x14ac:dyDescent="0.35">
      <c r="A120" s="6"/>
      <c r="B120" s="6">
        <v>12</v>
      </c>
      <c r="C120" s="13">
        <v>8.7899999999999991</v>
      </c>
      <c r="D120" s="13">
        <v>9.58</v>
      </c>
      <c r="E120" s="13">
        <v>10.26</v>
      </c>
      <c r="F120" s="13">
        <v>7.97</v>
      </c>
      <c r="G120" s="6"/>
      <c r="H120" s="6">
        <v>12</v>
      </c>
      <c r="I120" s="13">
        <v>10.11</v>
      </c>
      <c r="J120" s="13">
        <v>10.66</v>
      </c>
      <c r="K120" s="13">
        <v>10.81</v>
      </c>
      <c r="L120" s="13">
        <v>10.35</v>
      </c>
      <c r="M120" s="20"/>
      <c r="N120" s="20">
        <v>12</v>
      </c>
      <c r="O120" s="13">
        <f t="shared" si="61"/>
        <v>89.89</v>
      </c>
      <c r="P120" s="13">
        <f t="shared" si="58"/>
        <v>89.34</v>
      </c>
      <c r="Q120" s="13">
        <f t="shared" si="59"/>
        <v>89.19</v>
      </c>
      <c r="R120" s="13">
        <f t="shared" si="60"/>
        <v>89.65</v>
      </c>
      <c r="S120" s="15">
        <f t="shared" si="62"/>
        <v>89.517500000000013</v>
      </c>
      <c r="T120" s="6"/>
      <c r="U120" s="6">
        <v>12</v>
      </c>
      <c r="V120" s="13">
        <f t="shared" si="63"/>
        <v>7.0891930447889742</v>
      </c>
      <c r="W120" s="13">
        <f t="shared" si="64"/>
        <v>7.0458171834625301</v>
      </c>
      <c r="X120" s="13">
        <f t="shared" si="65"/>
        <v>7.0891930447889742</v>
      </c>
      <c r="Y120" s="13">
        <f t="shared" si="66"/>
        <v>7.0702653962101634</v>
      </c>
      <c r="Z120" s="15">
        <f t="shared" si="67"/>
        <v>7.0736171673126611</v>
      </c>
      <c r="AA120" s="9"/>
      <c r="AB120" s="9"/>
    </row>
    <row r="121" spans="1:28" x14ac:dyDescent="0.35">
      <c r="A121" s="6"/>
      <c r="B121" s="6">
        <v>13</v>
      </c>
      <c r="C121" s="13">
        <v>8.4499999999999993</v>
      </c>
      <c r="D121" s="13">
        <v>8.58</v>
      </c>
      <c r="E121" s="13">
        <v>10.210000000000001</v>
      </c>
      <c r="F121" s="13">
        <v>7.68</v>
      </c>
      <c r="G121" s="6"/>
      <c r="H121" s="6">
        <v>13</v>
      </c>
      <c r="I121" s="13">
        <v>10.28</v>
      </c>
      <c r="J121" s="13">
        <v>10.88</v>
      </c>
      <c r="K121" s="13">
        <v>10.62</v>
      </c>
      <c r="L121" s="13">
        <v>10.44</v>
      </c>
      <c r="M121" s="20"/>
      <c r="N121" s="20">
        <v>13</v>
      </c>
      <c r="O121" s="13">
        <f t="shared" si="61"/>
        <v>89.72</v>
      </c>
      <c r="P121" s="13">
        <f t="shared" si="58"/>
        <v>89.12</v>
      </c>
      <c r="Q121" s="13">
        <f t="shared" si="59"/>
        <v>89.38</v>
      </c>
      <c r="R121" s="13">
        <f t="shared" si="60"/>
        <v>89.56</v>
      </c>
      <c r="S121" s="15">
        <f t="shared" si="62"/>
        <v>89.445000000000007</v>
      </c>
      <c r="T121" s="6"/>
      <c r="U121" s="6">
        <v>13</v>
      </c>
      <c r="V121" s="13">
        <f t="shared" si="63"/>
        <v>6.802092305483777</v>
      </c>
      <c r="W121" s="13">
        <f t="shared" si="64"/>
        <v>6.7566035027275326</v>
      </c>
      <c r="X121" s="13">
        <f t="shared" si="65"/>
        <v>6.802092305483777</v>
      </c>
      <c r="Y121" s="13">
        <f t="shared" si="66"/>
        <v>6.7899619580821113</v>
      </c>
      <c r="Z121" s="15">
        <f t="shared" si="67"/>
        <v>6.787687517944299</v>
      </c>
      <c r="AA121" s="9"/>
      <c r="AB121" s="9"/>
    </row>
    <row r="122" spans="1:28" x14ac:dyDescent="0.35">
      <c r="A122" s="6"/>
      <c r="B122" s="6">
        <v>14</v>
      </c>
      <c r="C122" s="13">
        <v>8.5</v>
      </c>
      <c r="D122" s="13">
        <v>9.34</v>
      </c>
      <c r="E122" s="13">
        <v>9.9499999999999993</v>
      </c>
      <c r="F122" s="13">
        <v>8.2899999999999991</v>
      </c>
      <c r="G122" s="6"/>
      <c r="H122" s="6">
        <v>14</v>
      </c>
      <c r="I122" s="13">
        <v>10.54</v>
      </c>
      <c r="J122" s="13">
        <v>10.98</v>
      </c>
      <c r="K122" s="13">
        <v>11.28</v>
      </c>
      <c r="L122" s="13">
        <v>10.1</v>
      </c>
      <c r="M122" s="20"/>
      <c r="N122" s="20">
        <v>14</v>
      </c>
      <c r="O122" s="13">
        <f t="shared" si="61"/>
        <v>89.460000000000008</v>
      </c>
      <c r="P122" s="13">
        <f t="shared" si="58"/>
        <v>89.02</v>
      </c>
      <c r="Q122" s="13">
        <f t="shared" si="59"/>
        <v>88.72</v>
      </c>
      <c r="R122" s="13">
        <f t="shared" si="60"/>
        <v>89.9</v>
      </c>
      <c r="S122" s="15">
        <f t="shared" si="62"/>
        <v>89.275000000000006</v>
      </c>
      <c r="T122" s="6"/>
      <c r="U122" s="6">
        <v>14</v>
      </c>
      <c r="V122" s="13">
        <f t="shared" si="63"/>
        <v>6.8225129198966403</v>
      </c>
      <c r="W122" s="13">
        <f t="shared" si="64"/>
        <v>6.7889570772322694</v>
      </c>
      <c r="X122" s="13">
        <f t="shared" si="65"/>
        <v>6.8225129198966403</v>
      </c>
      <c r="Y122" s="13">
        <f t="shared" si="66"/>
        <v>6.8560687625610122</v>
      </c>
      <c r="Z122" s="15">
        <f t="shared" si="67"/>
        <v>6.8225129198966412</v>
      </c>
      <c r="AA122" s="9"/>
      <c r="AB122" s="9"/>
    </row>
    <row r="123" spans="1:28" x14ac:dyDescent="0.35">
      <c r="A123" s="6"/>
      <c r="B123" s="6">
        <v>15</v>
      </c>
      <c r="C123" s="13">
        <v>9</v>
      </c>
      <c r="D123" s="13">
        <v>9.42</v>
      </c>
      <c r="E123" s="13">
        <v>9.33</v>
      </c>
      <c r="F123" s="13">
        <v>8.69</v>
      </c>
      <c r="G123" s="6"/>
      <c r="H123" s="6">
        <v>15</v>
      </c>
      <c r="I123" s="13">
        <v>10.54</v>
      </c>
      <c r="J123" s="13">
        <v>11.63</v>
      </c>
      <c r="K123" s="13">
        <v>11.98</v>
      </c>
      <c r="L123" s="13">
        <v>11.12</v>
      </c>
      <c r="M123" s="20"/>
      <c r="N123" s="20">
        <v>15</v>
      </c>
      <c r="O123" s="13">
        <f t="shared" si="61"/>
        <v>89.460000000000008</v>
      </c>
      <c r="P123" s="13">
        <f t="shared" si="58"/>
        <v>88.37</v>
      </c>
      <c r="Q123" s="13">
        <f t="shared" si="59"/>
        <v>88.02</v>
      </c>
      <c r="R123" s="13">
        <f t="shared" si="60"/>
        <v>88.88</v>
      </c>
      <c r="S123" s="15">
        <f t="shared" si="62"/>
        <v>88.682500000000005</v>
      </c>
      <c r="T123" s="6"/>
      <c r="U123" s="6">
        <v>15</v>
      </c>
      <c r="V123" s="13">
        <f t="shared" si="63"/>
        <v>7.2238372093023262</v>
      </c>
      <c r="W123" s="13">
        <f t="shared" si="64"/>
        <v>7.1358204134366936</v>
      </c>
      <c r="X123" s="13">
        <f t="shared" si="65"/>
        <v>7.2238372093023262</v>
      </c>
      <c r="Y123" s="13">
        <f t="shared" si="66"/>
        <v>7.177002583979327</v>
      </c>
      <c r="Z123" s="15">
        <f t="shared" si="67"/>
        <v>7.1901243540051683</v>
      </c>
      <c r="AA123" s="9"/>
      <c r="AB123" s="9"/>
    </row>
    <row r="124" spans="1:28" x14ac:dyDescent="0.35">
      <c r="A124" s="6"/>
      <c r="B124" s="6"/>
      <c r="C124" s="13"/>
      <c r="D124" s="13"/>
      <c r="E124" s="13"/>
      <c r="F124" s="13"/>
      <c r="G124" s="6"/>
      <c r="H124" s="6"/>
      <c r="I124" s="13"/>
      <c r="J124" s="13"/>
      <c r="K124" s="13"/>
      <c r="L124" s="13"/>
      <c r="M124" s="20"/>
      <c r="N124" s="20"/>
      <c r="O124" s="13"/>
      <c r="P124" s="13"/>
      <c r="Q124" s="13"/>
      <c r="R124" s="13"/>
      <c r="S124" s="9"/>
      <c r="T124" s="6"/>
      <c r="U124" s="6"/>
      <c r="V124" s="13"/>
      <c r="W124" s="13"/>
      <c r="X124" s="13"/>
      <c r="Y124" s="13"/>
      <c r="Z124" s="9"/>
      <c r="AA124" s="9"/>
      <c r="AB124" s="9"/>
    </row>
    <row r="125" spans="1:28" x14ac:dyDescent="0.35">
      <c r="A125" s="6"/>
      <c r="B125" s="6"/>
      <c r="C125" s="6" t="s">
        <v>4</v>
      </c>
      <c r="D125" s="6" t="s">
        <v>5</v>
      </c>
      <c r="E125" s="6" t="s">
        <v>6</v>
      </c>
      <c r="F125" s="6" t="s">
        <v>7</v>
      </c>
      <c r="G125" s="6"/>
      <c r="H125" s="6"/>
      <c r="I125" s="6" t="s">
        <v>4</v>
      </c>
      <c r="J125" s="6" t="s">
        <v>5</v>
      </c>
      <c r="K125" s="6" t="s">
        <v>6</v>
      </c>
      <c r="L125" s="6" t="s">
        <v>7</v>
      </c>
      <c r="M125" s="20"/>
      <c r="N125" s="20"/>
      <c r="O125" s="20" t="s">
        <v>4</v>
      </c>
      <c r="P125" s="20" t="s">
        <v>5</v>
      </c>
      <c r="Q125" s="20" t="s">
        <v>6</v>
      </c>
      <c r="R125" s="20" t="s">
        <v>7</v>
      </c>
      <c r="S125" s="12" t="s">
        <v>8</v>
      </c>
      <c r="T125" s="6"/>
      <c r="U125" s="6"/>
      <c r="V125" s="6" t="s">
        <v>4</v>
      </c>
      <c r="W125" s="6" t="s">
        <v>5</v>
      </c>
      <c r="X125" s="6" t="s">
        <v>6</v>
      </c>
      <c r="Y125" s="6" t="s">
        <v>7</v>
      </c>
      <c r="Z125" s="12" t="s">
        <v>8</v>
      </c>
      <c r="AA125" s="9"/>
      <c r="AB125" s="9"/>
    </row>
    <row r="126" spans="1:28" x14ac:dyDescent="0.35">
      <c r="A126" s="6"/>
      <c r="B126" s="6">
        <v>1</v>
      </c>
      <c r="C126" s="13">
        <v>5.79</v>
      </c>
      <c r="D126" s="13">
        <v>6.11</v>
      </c>
      <c r="E126" s="13">
        <v>6.69</v>
      </c>
      <c r="F126" s="13">
        <v>7.58</v>
      </c>
      <c r="G126" s="6"/>
      <c r="H126" s="6">
        <v>1</v>
      </c>
      <c r="I126" s="13">
        <v>12.65</v>
      </c>
      <c r="J126" s="13">
        <v>13.11</v>
      </c>
      <c r="K126" s="13">
        <v>12.73</v>
      </c>
      <c r="L126" s="13">
        <v>12.67</v>
      </c>
      <c r="M126" s="20"/>
      <c r="N126" s="20">
        <v>1</v>
      </c>
      <c r="O126" s="13">
        <f>+(100-I126)</f>
        <v>87.35</v>
      </c>
      <c r="P126" s="13">
        <f t="shared" ref="P126:P140" si="68">+(100-J126)</f>
        <v>86.89</v>
      </c>
      <c r="Q126" s="13">
        <f t="shared" ref="Q126:Q140" si="69">+(100-K126)</f>
        <v>87.27</v>
      </c>
      <c r="R126" s="13">
        <f t="shared" ref="R126:R140" si="70">+(100-L126)</f>
        <v>87.33</v>
      </c>
      <c r="S126" s="15">
        <f>AVERAGE(O126:R126)</f>
        <v>87.21</v>
      </c>
      <c r="T126" s="6"/>
      <c r="U126" s="6">
        <v>1</v>
      </c>
      <c r="V126" s="13">
        <f>+(((C126*O126)/86)/12.96)*10</f>
        <v>4.5377234065460801</v>
      </c>
      <c r="W126" s="13">
        <f>+(((C126*P126)/86)/12.96)*10</f>
        <v>4.5138269810508174</v>
      </c>
      <c r="X126" s="13">
        <f>+(((C126*O126)/86)/12.96)*10</f>
        <v>4.5377234065460801</v>
      </c>
      <c r="Y126" s="13">
        <f>+(((C126*R126)/86)/12.96)*10</f>
        <v>4.5366844315245478</v>
      </c>
      <c r="Z126" s="15">
        <f>AVERAGE(V126:Y126)</f>
        <v>4.5314895564168811</v>
      </c>
      <c r="AA126" s="9"/>
      <c r="AB126" s="9"/>
    </row>
    <row r="127" spans="1:28" x14ac:dyDescent="0.35">
      <c r="A127" s="6"/>
      <c r="B127" s="6">
        <v>2</v>
      </c>
      <c r="C127" s="13">
        <v>6.43</v>
      </c>
      <c r="D127" s="13">
        <v>7.57</v>
      </c>
      <c r="E127" s="13">
        <v>8.48</v>
      </c>
      <c r="F127" s="13">
        <v>6.52</v>
      </c>
      <c r="G127" s="6"/>
      <c r="H127" s="6">
        <v>2</v>
      </c>
      <c r="I127" s="13">
        <v>9.92</v>
      </c>
      <c r="J127" s="13">
        <v>10</v>
      </c>
      <c r="K127" s="13">
        <v>10.94</v>
      </c>
      <c r="L127" s="13">
        <v>10.19</v>
      </c>
      <c r="M127" s="20"/>
      <c r="N127" s="20">
        <v>2</v>
      </c>
      <c r="O127" s="13">
        <f t="shared" ref="O127:O140" si="71">+(100-I127)</f>
        <v>90.08</v>
      </c>
      <c r="P127" s="13">
        <f t="shared" si="68"/>
        <v>90</v>
      </c>
      <c r="Q127" s="13">
        <f t="shared" si="69"/>
        <v>89.06</v>
      </c>
      <c r="R127" s="13">
        <f t="shared" si="70"/>
        <v>89.81</v>
      </c>
      <c r="S127" s="15">
        <f t="shared" ref="S127:S140" si="72">AVERAGE(O127:R127)</f>
        <v>89.737499999999997</v>
      </c>
      <c r="T127" s="6"/>
      <c r="U127" s="6">
        <v>2</v>
      </c>
      <c r="V127" s="13">
        <f t="shared" ref="V127:V140" si="73">+(((C127*O127)/86)/12.96)*10</f>
        <v>5.1967987367212167</v>
      </c>
      <c r="W127" s="13">
        <f t="shared" ref="W127:W140" si="74">+(((C127*P127)/86)/12.96)*10</f>
        <v>5.1921834625322987</v>
      </c>
      <c r="X127" s="13">
        <f t="shared" ref="X127:X140" si="75">+(((C127*O127)/86)/12.96)*10</f>
        <v>5.1967987367212167</v>
      </c>
      <c r="Y127" s="13">
        <f t="shared" ref="Y127:Y140" si="76">+(((C127*R127)/86)/12.96)*10</f>
        <v>5.1812221863336205</v>
      </c>
      <c r="Z127" s="15">
        <f t="shared" ref="Z127:Z140" si="77">AVERAGE(V127:Y127)</f>
        <v>5.1917507805770882</v>
      </c>
      <c r="AA127" s="9"/>
      <c r="AB127" s="9"/>
    </row>
    <row r="128" spans="1:28" x14ac:dyDescent="0.35">
      <c r="A128" s="6"/>
      <c r="B128" s="6">
        <v>3</v>
      </c>
      <c r="C128" s="13">
        <v>7.44</v>
      </c>
      <c r="D128" s="13">
        <v>8.1300000000000008</v>
      </c>
      <c r="E128" s="13">
        <v>8.51</v>
      </c>
      <c r="F128" s="13">
        <v>8.2200000000000006</v>
      </c>
      <c r="G128" s="6"/>
      <c r="H128" s="6">
        <v>3</v>
      </c>
      <c r="I128" s="13">
        <v>10.53</v>
      </c>
      <c r="J128" s="13">
        <v>10.32</v>
      </c>
      <c r="K128" s="13">
        <v>11.93</v>
      </c>
      <c r="L128" s="13">
        <v>10.51</v>
      </c>
      <c r="M128" s="20"/>
      <c r="N128" s="20">
        <v>3</v>
      </c>
      <c r="O128" s="13">
        <f t="shared" si="71"/>
        <v>89.47</v>
      </c>
      <c r="P128" s="13">
        <f t="shared" si="68"/>
        <v>89.68</v>
      </c>
      <c r="Q128" s="13">
        <f t="shared" si="69"/>
        <v>88.07</v>
      </c>
      <c r="R128" s="13">
        <f t="shared" si="70"/>
        <v>89.49</v>
      </c>
      <c r="S128" s="15">
        <f t="shared" si="72"/>
        <v>89.177500000000009</v>
      </c>
      <c r="T128" s="6"/>
      <c r="U128" s="6">
        <v>3</v>
      </c>
      <c r="V128" s="13">
        <f t="shared" si="73"/>
        <v>5.9723729543496971</v>
      </c>
      <c r="W128" s="13">
        <f t="shared" si="74"/>
        <v>5.9863910422049962</v>
      </c>
      <c r="X128" s="13">
        <f t="shared" si="75"/>
        <v>5.9723729543496971</v>
      </c>
      <c r="Y128" s="13">
        <f t="shared" si="76"/>
        <v>5.9737080103359173</v>
      </c>
      <c r="Z128" s="15">
        <f t="shared" si="77"/>
        <v>5.9762112403100769</v>
      </c>
      <c r="AA128" s="9"/>
      <c r="AB128" s="9"/>
    </row>
    <row r="129" spans="1:28" x14ac:dyDescent="0.35">
      <c r="A129" s="6"/>
      <c r="B129" s="6">
        <v>4</v>
      </c>
      <c r="C129" s="13">
        <v>8.51</v>
      </c>
      <c r="D129" s="13">
        <v>9</v>
      </c>
      <c r="E129" s="13">
        <v>8.85</v>
      </c>
      <c r="F129" s="13">
        <v>9.94</v>
      </c>
      <c r="G129" s="6"/>
      <c r="H129" s="6">
        <v>4</v>
      </c>
      <c r="I129" s="13">
        <v>10.4</v>
      </c>
      <c r="J129" s="13">
        <v>10.64</v>
      </c>
      <c r="K129" s="13">
        <v>10.68</v>
      </c>
      <c r="L129" s="13">
        <v>11.6</v>
      </c>
      <c r="M129" s="20"/>
      <c r="N129" s="20">
        <v>4</v>
      </c>
      <c r="O129" s="13">
        <f t="shared" si="71"/>
        <v>89.6</v>
      </c>
      <c r="P129" s="13">
        <f t="shared" si="68"/>
        <v>89.36</v>
      </c>
      <c r="Q129" s="13">
        <f t="shared" si="69"/>
        <v>89.32</v>
      </c>
      <c r="R129" s="13">
        <f t="shared" si="70"/>
        <v>88.4</v>
      </c>
      <c r="S129" s="15">
        <f t="shared" si="72"/>
        <v>89.169999999999987</v>
      </c>
      <c r="T129" s="6"/>
      <c r="U129" s="6">
        <v>4</v>
      </c>
      <c r="V129" s="13">
        <f t="shared" si="73"/>
        <v>6.8412288257249489</v>
      </c>
      <c r="W129" s="13">
        <f t="shared" si="74"/>
        <v>6.8229041056560433</v>
      </c>
      <c r="X129" s="13">
        <f t="shared" si="75"/>
        <v>6.8412288257249489</v>
      </c>
      <c r="Y129" s="13">
        <f t="shared" si="76"/>
        <v>6.7496052253804191</v>
      </c>
      <c r="Z129" s="15">
        <f t="shared" si="77"/>
        <v>6.8137417456215896</v>
      </c>
      <c r="AA129" s="9"/>
      <c r="AB129" s="9"/>
    </row>
    <row r="130" spans="1:28" x14ac:dyDescent="0.35">
      <c r="A130" s="6"/>
      <c r="B130" s="6">
        <v>5</v>
      </c>
      <c r="C130" s="13">
        <v>7.94</v>
      </c>
      <c r="D130" s="13">
        <v>8.5399999999999991</v>
      </c>
      <c r="E130" s="13">
        <v>8.6</v>
      </c>
      <c r="F130" s="13">
        <v>7.68</v>
      </c>
      <c r="G130" s="6"/>
      <c r="H130" s="6">
        <v>5</v>
      </c>
      <c r="I130" s="13">
        <v>10.15</v>
      </c>
      <c r="J130" s="13">
        <v>10.14</v>
      </c>
      <c r="K130" s="13">
        <v>11.7</v>
      </c>
      <c r="L130" s="13">
        <v>9.6</v>
      </c>
      <c r="M130" s="20"/>
      <c r="N130" s="20">
        <v>5</v>
      </c>
      <c r="O130" s="13">
        <f t="shared" si="71"/>
        <v>89.85</v>
      </c>
      <c r="P130" s="13">
        <f t="shared" si="68"/>
        <v>89.86</v>
      </c>
      <c r="Q130" s="13">
        <f t="shared" si="69"/>
        <v>88.3</v>
      </c>
      <c r="R130" s="13">
        <f t="shared" si="70"/>
        <v>90.4</v>
      </c>
      <c r="S130" s="15">
        <f t="shared" si="72"/>
        <v>89.602499999999992</v>
      </c>
      <c r="T130" s="6"/>
      <c r="U130" s="6">
        <v>5</v>
      </c>
      <c r="V130" s="13">
        <f t="shared" si="73"/>
        <v>6.4008128768303187</v>
      </c>
      <c r="W130" s="13">
        <f t="shared" si="74"/>
        <v>6.4015252655756525</v>
      </c>
      <c r="X130" s="13">
        <f t="shared" si="75"/>
        <v>6.4008128768303187</v>
      </c>
      <c r="Y130" s="13">
        <f t="shared" si="76"/>
        <v>6.4399942578237148</v>
      </c>
      <c r="Z130" s="15">
        <f t="shared" si="77"/>
        <v>6.4107863192650019</v>
      </c>
      <c r="AA130" s="9"/>
      <c r="AB130" s="9"/>
    </row>
    <row r="131" spans="1:28" x14ac:dyDescent="0.35">
      <c r="A131" s="11" t="s">
        <v>23</v>
      </c>
      <c r="B131" s="6">
        <v>6</v>
      </c>
      <c r="C131" s="13">
        <v>8.75</v>
      </c>
      <c r="D131" s="13">
        <v>9.17</v>
      </c>
      <c r="E131" s="13">
        <v>9.75</v>
      </c>
      <c r="F131" s="13">
        <v>8.66</v>
      </c>
      <c r="G131" s="11" t="s">
        <v>23</v>
      </c>
      <c r="H131" s="6">
        <v>6</v>
      </c>
      <c r="I131" s="13">
        <v>10.29</v>
      </c>
      <c r="J131" s="13">
        <v>9.77</v>
      </c>
      <c r="K131" s="13">
        <v>10.69</v>
      </c>
      <c r="L131" s="13">
        <v>10.48</v>
      </c>
      <c r="M131" s="11" t="s">
        <v>23</v>
      </c>
      <c r="N131" s="20">
        <v>6</v>
      </c>
      <c r="O131" s="13">
        <f t="shared" si="71"/>
        <v>89.710000000000008</v>
      </c>
      <c r="P131" s="13">
        <f t="shared" si="68"/>
        <v>90.23</v>
      </c>
      <c r="Q131" s="13">
        <f t="shared" si="69"/>
        <v>89.31</v>
      </c>
      <c r="R131" s="13">
        <f t="shared" si="70"/>
        <v>89.52</v>
      </c>
      <c r="S131" s="15">
        <f t="shared" si="72"/>
        <v>89.692499999999995</v>
      </c>
      <c r="T131" s="11" t="s">
        <v>23</v>
      </c>
      <c r="U131" s="6">
        <v>6</v>
      </c>
      <c r="V131" s="13">
        <f t="shared" si="73"/>
        <v>7.0428016436979624</v>
      </c>
      <c r="W131" s="13">
        <f t="shared" si="74"/>
        <v>7.0836249282227959</v>
      </c>
      <c r="X131" s="13">
        <f t="shared" si="75"/>
        <v>7.0428016436979624</v>
      </c>
      <c r="Y131" s="13">
        <f t="shared" si="76"/>
        <v>7.0278854435831173</v>
      </c>
      <c r="Z131" s="15">
        <f t="shared" si="77"/>
        <v>7.049278414800459</v>
      </c>
      <c r="AA131" s="9"/>
      <c r="AB131" s="9"/>
    </row>
    <row r="132" spans="1:28" x14ac:dyDescent="0.35">
      <c r="A132" s="6" t="s">
        <v>24</v>
      </c>
      <c r="B132" s="6">
        <v>7</v>
      </c>
      <c r="C132" s="13">
        <v>7.81</v>
      </c>
      <c r="D132" s="13">
        <v>8.24</v>
      </c>
      <c r="E132" s="13">
        <v>8.92</v>
      </c>
      <c r="F132" s="13">
        <v>8.23</v>
      </c>
      <c r="G132" s="6" t="s">
        <v>24</v>
      </c>
      <c r="H132" s="6">
        <v>7</v>
      </c>
      <c r="I132" s="13">
        <v>9.49</v>
      </c>
      <c r="J132" s="13">
        <v>9.5500000000000007</v>
      </c>
      <c r="K132" s="13">
        <v>10.35</v>
      </c>
      <c r="L132" s="13">
        <v>10.39</v>
      </c>
      <c r="M132" s="20" t="s">
        <v>24</v>
      </c>
      <c r="N132" s="20">
        <v>7</v>
      </c>
      <c r="O132" s="13">
        <f t="shared" si="71"/>
        <v>90.51</v>
      </c>
      <c r="P132" s="13">
        <f t="shared" si="68"/>
        <v>90.45</v>
      </c>
      <c r="Q132" s="13">
        <f t="shared" si="69"/>
        <v>89.65</v>
      </c>
      <c r="R132" s="13">
        <f t="shared" si="70"/>
        <v>89.61</v>
      </c>
      <c r="S132" s="15">
        <f t="shared" si="72"/>
        <v>90.055000000000007</v>
      </c>
      <c r="T132" s="6" t="s">
        <v>24</v>
      </c>
      <c r="U132" s="6">
        <v>7</v>
      </c>
      <c r="V132" s="13">
        <f t="shared" si="73"/>
        <v>6.3422615202411716</v>
      </c>
      <c r="W132" s="13">
        <f t="shared" si="74"/>
        <v>6.3380571705426361</v>
      </c>
      <c r="X132" s="13">
        <f t="shared" si="75"/>
        <v>6.3422615202411716</v>
      </c>
      <c r="Y132" s="13">
        <f t="shared" si="76"/>
        <v>6.2791962747631347</v>
      </c>
      <c r="Z132" s="15">
        <f t="shared" si="77"/>
        <v>6.3254441214470285</v>
      </c>
      <c r="AA132" s="9"/>
      <c r="AB132" s="9"/>
    </row>
    <row r="133" spans="1:28" x14ac:dyDescent="0.35">
      <c r="A133" s="6"/>
      <c r="B133" s="6">
        <v>8</v>
      </c>
      <c r="C133" s="13">
        <v>8.32</v>
      </c>
      <c r="D133" s="13">
        <v>8.6300000000000008</v>
      </c>
      <c r="E133" s="13">
        <v>8.8000000000000007</v>
      </c>
      <c r="F133" s="13">
        <v>7.39</v>
      </c>
      <c r="G133" s="6"/>
      <c r="H133" s="6">
        <v>8</v>
      </c>
      <c r="I133" s="13">
        <v>11.36</v>
      </c>
      <c r="J133" s="13">
        <v>11.26</v>
      </c>
      <c r="K133" s="13">
        <v>11.8</v>
      </c>
      <c r="L133" s="13">
        <v>11.2</v>
      </c>
      <c r="M133" s="20"/>
      <c r="N133" s="20">
        <v>8</v>
      </c>
      <c r="O133" s="13">
        <f t="shared" si="71"/>
        <v>88.64</v>
      </c>
      <c r="P133" s="13">
        <f t="shared" si="68"/>
        <v>88.74</v>
      </c>
      <c r="Q133" s="13">
        <f t="shared" si="69"/>
        <v>88.2</v>
      </c>
      <c r="R133" s="13">
        <f t="shared" si="70"/>
        <v>88.8</v>
      </c>
      <c r="S133" s="15">
        <f t="shared" si="72"/>
        <v>88.594999999999999</v>
      </c>
      <c r="T133" s="6"/>
      <c r="U133" s="6">
        <v>8</v>
      </c>
      <c r="V133" s="13">
        <f t="shared" si="73"/>
        <v>6.6168245765144995</v>
      </c>
      <c r="W133" s="13">
        <f t="shared" si="74"/>
        <v>6.6242894056847543</v>
      </c>
      <c r="X133" s="13">
        <f t="shared" si="75"/>
        <v>6.6168245765144995</v>
      </c>
      <c r="Y133" s="13">
        <f t="shared" si="76"/>
        <v>6.6287683031869076</v>
      </c>
      <c r="Z133" s="15">
        <f t="shared" si="77"/>
        <v>6.6216767154751661</v>
      </c>
      <c r="AA133" s="9"/>
      <c r="AB133" s="9"/>
    </row>
    <row r="134" spans="1:28" x14ac:dyDescent="0.35">
      <c r="A134" s="6"/>
      <c r="B134" s="6">
        <v>9</v>
      </c>
      <c r="C134" s="13">
        <v>8.7200000000000006</v>
      </c>
      <c r="D134" s="13">
        <v>9.14</v>
      </c>
      <c r="E134" s="13">
        <v>9.48</v>
      </c>
      <c r="F134" s="13">
        <v>10.33</v>
      </c>
      <c r="G134" s="6"/>
      <c r="H134" s="6">
        <v>9</v>
      </c>
      <c r="I134" s="13">
        <v>11.44</v>
      </c>
      <c r="J134" s="13">
        <v>11.4</v>
      </c>
      <c r="K134" s="13">
        <v>11.88</v>
      </c>
      <c r="L134" s="13">
        <v>12.11</v>
      </c>
      <c r="M134" s="20"/>
      <c r="N134" s="20">
        <v>9</v>
      </c>
      <c r="O134" s="13">
        <f t="shared" si="71"/>
        <v>88.56</v>
      </c>
      <c r="P134" s="13">
        <f t="shared" si="68"/>
        <v>88.6</v>
      </c>
      <c r="Q134" s="13">
        <f t="shared" si="69"/>
        <v>88.12</v>
      </c>
      <c r="R134" s="13">
        <f t="shared" si="70"/>
        <v>87.89</v>
      </c>
      <c r="S134" s="15">
        <f t="shared" si="72"/>
        <v>88.29249999999999</v>
      </c>
      <c r="T134" s="6"/>
      <c r="U134" s="6">
        <v>9</v>
      </c>
      <c r="V134" s="13">
        <f t="shared" si="73"/>
        <v>6.9286821705426371</v>
      </c>
      <c r="W134" s="13">
        <f t="shared" si="74"/>
        <v>6.9318116566178576</v>
      </c>
      <c r="X134" s="13">
        <f t="shared" si="75"/>
        <v>6.9286821705426371</v>
      </c>
      <c r="Y134" s="13">
        <f t="shared" si="76"/>
        <v>6.876263278782659</v>
      </c>
      <c r="Z134" s="15">
        <f t="shared" si="77"/>
        <v>6.9163598191214479</v>
      </c>
      <c r="AA134" s="9"/>
      <c r="AB134" s="9"/>
    </row>
    <row r="135" spans="1:28" x14ac:dyDescent="0.35">
      <c r="A135" s="6"/>
      <c r="B135" s="6">
        <v>10</v>
      </c>
      <c r="C135" s="13">
        <v>8.98</v>
      </c>
      <c r="D135" s="13">
        <v>9.66</v>
      </c>
      <c r="E135" s="13">
        <v>9.91</v>
      </c>
      <c r="F135" s="13">
        <v>9.06</v>
      </c>
      <c r="G135" s="6"/>
      <c r="H135" s="6">
        <v>10</v>
      </c>
      <c r="I135" s="13">
        <v>10.67</v>
      </c>
      <c r="J135" s="13">
        <v>10.54</v>
      </c>
      <c r="K135" s="13">
        <v>11</v>
      </c>
      <c r="L135" s="13">
        <v>11.01</v>
      </c>
      <c r="M135" s="20"/>
      <c r="N135" s="20">
        <v>10</v>
      </c>
      <c r="O135" s="13">
        <f t="shared" si="71"/>
        <v>89.33</v>
      </c>
      <c r="P135" s="13">
        <f t="shared" si="68"/>
        <v>89.460000000000008</v>
      </c>
      <c r="Q135" s="13">
        <f t="shared" si="69"/>
        <v>89</v>
      </c>
      <c r="R135" s="13">
        <f t="shared" si="70"/>
        <v>88.99</v>
      </c>
      <c r="S135" s="15">
        <f t="shared" si="72"/>
        <v>89.195000000000007</v>
      </c>
      <c r="T135" s="6"/>
      <c r="U135" s="6">
        <v>10</v>
      </c>
      <c r="V135" s="13">
        <f t="shared" si="73"/>
        <v>7.197310149296583</v>
      </c>
      <c r="W135" s="13">
        <f t="shared" si="74"/>
        <v>7.2077842377260994</v>
      </c>
      <c r="X135" s="13">
        <f t="shared" si="75"/>
        <v>7.197310149296583</v>
      </c>
      <c r="Y135" s="13">
        <f t="shared" si="76"/>
        <v>7.1699163795578515</v>
      </c>
      <c r="Z135" s="15">
        <f t="shared" si="77"/>
        <v>7.1930802289692792</v>
      </c>
      <c r="AA135" s="9"/>
      <c r="AB135" s="9"/>
    </row>
    <row r="136" spans="1:28" x14ac:dyDescent="0.35">
      <c r="A136" s="6"/>
      <c r="B136" s="6">
        <v>11</v>
      </c>
      <c r="C136" s="13">
        <v>8.89</v>
      </c>
      <c r="D136" s="13">
        <v>9.48</v>
      </c>
      <c r="E136" s="13">
        <v>9.17</v>
      </c>
      <c r="F136" s="13">
        <v>7.91</v>
      </c>
      <c r="G136" s="6"/>
      <c r="H136" s="6">
        <v>11</v>
      </c>
      <c r="I136" s="13">
        <v>10.45</v>
      </c>
      <c r="J136" s="13">
        <v>10.8</v>
      </c>
      <c r="K136" s="13">
        <v>10.29</v>
      </c>
      <c r="L136" s="13">
        <v>12.01</v>
      </c>
      <c r="M136" s="20"/>
      <c r="N136" s="20">
        <v>11</v>
      </c>
      <c r="O136" s="13">
        <f t="shared" si="71"/>
        <v>89.55</v>
      </c>
      <c r="P136" s="13">
        <f t="shared" si="68"/>
        <v>89.2</v>
      </c>
      <c r="Q136" s="13">
        <f t="shared" si="69"/>
        <v>89.710000000000008</v>
      </c>
      <c r="R136" s="13">
        <f t="shared" si="70"/>
        <v>87.99</v>
      </c>
      <c r="S136" s="15">
        <f t="shared" si="72"/>
        <v>89.112500000000011</v>
      </c>
      <c r="T136" s="6"/>
      <c r="U136" s="6">
        <v>11</v>
      </c>
      <c r="V136" s="13">
        <f t="shared" si="73"/>
        <v>7.1427244832041339</v>
      </c>
      <c r="W136" s="13">
        <f t="shared" si="74"/>
        <v>7.114807637094458</v>
      </c>
      <c r="X136" s="13">
        <f t="shared" si="75"/>
        <v>7.1427244832041339</v>
      </c>
      <c r="Y136" s="13">
        <f t="shared" si="76"/>
        <v>7.0182951119724368</v>
      </c>
      <c r="Z136" s="15">
        <f t="shared" si="77"/>
        <v>7.1046379288687902</v>
      </c>
      <c r="AA136" s="9"/>
      <c r="AB136" s="9"/>
    </row>
    <row r="137" spans="1:28" x14ac:dyDescent="0.35">
      <c r="A137" s="6"/>
      <c r="B137" s="6">
        <v>12</v>
      </c>
      <c r="C137" s="13">
        <v>8.64</v>
      </c>
      <c r="D137" s="13">
        <v>9.86</v>
      </c>
      <c r="E137" s="13">
        <v>9.11</v>
      </c>
      <c r="F137" s="13">
        <v>6.5</v>
      </c>
      <c r="G137" s="6"/>
      <c r="H137" s="6">
        <v>12</v>
      </c>
      <c r="I137" s="13">
        <v>10.220000000000001</v>
      </c>
      <c r="J137" s="13">
        <v>10.48</v>
      </c>
      <c r="K137" s="13">
        <v>10.86</v>
      </c>
      <c r="L137" s="13">
        <v>10.5</v>
      </c>
      <c r="M137" s="20"/>
      <c r="N137" s="20">
        <v>12</v>
      </c>
      <c r="O137" s="13">
        <f t="shared" si="71"/>
        <v>89.78</v>
      </c>
      <c r="P137" s="13">
        <f t="shared" si="68"/>
        <v>89.52</v>
      </c>
      <c r="Q137" s="13">
        <f t="shared" si="69"/>
        <v>89.14</v>
      </c>
      <c r="R137" s="13">
        <f t="shared" si="70"/>
        <v>89.5</v>
      </c>
      <c r="S137" s="15">
        <f t="shared" si="72"/>
        <v>89.484999999999999</v>
      </c>
      <c r="T137" s="6"/>
      <c r="U137" s="6">
        <v>12</v>
      </c>
      <c r="V137" s="13">
        <f t="shared" si="73"/>
        <v>6.9596899224806208</v>
      </c>
      <c r="W137" s="13">
        <f t="shared" si="74"/>
        <v>6.9395348837209303</v>
      </c>
      <c r="X137" s="13">
        <f t="shared" si="75"/>
        <v>6.9596899224806208</v>
      </c>
      <c r="Y137" s="13">
        <f t="shared" si="76"/>
        <v>6.9379844961240309</v>
      </c>
      <c r="Z137" s="15">
        <f t="shared" si="77"/>
        <v>6.9492248062015509</v>
      </c>
      <c r="AA137" s="9"/>
      <c r="AB137" s="9"/>
    </row>
    <row r="138" spans="1:28" x14ac:dyDescent="0.35">
      <c r="A138" s="6"/>
      <c r="B138" s="6">
        <v>13</v>
      </c>
      <c r="C138" s="13">
        <v>7.77</v>
      </c>
      <c r="D138" s="13">
        <v>7.62</v>
      </c>
      <c r="E138" s="13">
        <v>8.86</v>
      </c>
      <c r="F138" s="13">
        <v>8.5399999999999991</v>
      </c>
      <c r="G138" s="6"/>
      <c r="H138" s="6">
        <v>13</v>
      </c>
      <c r="I138" s="13">
        <v>10.28</v>
      </c>
      <c r="J138" s="13">
        <v>10.67</v>
      </c>
      <c r="K138" s="13">
        <v>10.130000000000001</v>
      </c>
      <c r="L138" s="13">
        <v>10.58</v>
      </c>
      <c r="M138" s="20"/>
      <c r="N138" s="20">
        <v>13</v>
      </c>
      <c r="O138" s="13">
        <f t="shared" si="71"/>
        <v>89.72</v>
      </c>
      <c r="P138" s="13">
        <f t="shared" si="68"/>
        <v>89.33</v>
      </c>
      <c r="Q138" s="13">
        <f t="shared" si="69"/>
        <v>89.87</v>
      </c>
      <c r="R138" s="13">
        <f t="shared" si="70"/>
        <v>89.42</v>
      </c>
      <c r="S138" s="15">
        <f t="shared" si="72"/>
        <v>89.585000000000008</v>
      </c>
      <c r="T138" s="6"/>
      <c r="U138" s="6">
        <v>13</v>
      </c>
      <c r="V138" s="13">
        <f t="shared" si="73"/>
        <v>6.254704995693368</v>
      </c>
      <c r="W138" s="13">
        <f t="shared" si="74"/>
        <v>6.2275166881998256</v>
      </c>
      <c r="X138" s="13">
        <f t="shared" si="75"/>
        <v>6.254704995693368</v>
      </c>
      <c r="Y138" s="13">
        <f t="shared" si="76"/>
        <v>6.2337909130060289</v>
      </c>
      <c r="Z138" s="15">
        <f t="shared" si="77"/>
        <v>6.2426793981481472</v>
      </c>
      <c r="AA138" s="9"/>
      <c r="AB138" s="9"/>
    </row>
    <row r="139" spans="1:28" x14ac:dyDescent="0.35">
      <c r="A139" s="6"/>
      <c r="B139" s="6">
        <v>14</v>
      </c>
      <c r="C139" s="6">
        <v>8.6300000000000008</v>
      </c>
      <c r="D139" s="6">
        <v>9.39</v>
      </c>
      <c r="E139" s="6">
        <v>8.25</v>
      </c>
      <c r="F139" s="6">
        <v>8.82</v>
      </c>
      <c r="G139" s="6"/>
      <c r="H139" s="6">
        <v>14</v>
      </c>
      <c r="I139" s="6">
        <v>10.49</v>
      </c>
      <c r="J139" s="6">
        <v>10.68</v>
      </c>
      <c r="K139" s="6">
        <v>10.84</v>
      </c>
      <c r="L139" s="6">
        <v>10.49</v>
      </c>
      <c r="M139" s="20"/>
      <c r="N139" s="20">
        <v>14</v>
      </c>
      <c r="O139" s="13">
        <f t="shared" si="71"/>
        <v>89.51</v>
      </c>
      <c r="P139" s="13">
        <f t="shared" si="68"/>
        <v>89.32</v>
      </c>
      <c r="Q139" s="13">
        <f t="shared" si="69"/>
        <v>89.16</v>
      </c>
      <c r="R139" s="13">
        <f t="shared" si="70"/>
        <v>89.51</v>
      </c>
      <c r="S139" s="15">
        <f t="shared" si="72"/>
        <v>89.375</v>
      </c>
      <c r="T139" s="6"/>
      <c r="U139" s="6">
        <v>14</v>
      </c>
      <c r="V139" s="13">
        <f t="shared" si="73"/>
        <v>6.9307287180591457</v>
      </c>
      <c r="W139" s="13">
        <f t="shared" si="74"/>
        <v>6.9160170829744461</v>
      </c>
      <c r="X139" s="13">
        <f t="shared" si="75"/>
        <v>6.9307287180591457</v>
      </c>
      <c r="Y139" s="13">
        <f t="shared" si="76"/>
        <v>6.9307287180591457</v>
      </c>
      <c r="Z139" s="15">
        <f t="shared" si="77"/>
        <v>6.9270508092879712</v>
      </c>
      <c r="AA139" s="9"/>
      <c r="AB139" s="9"/>
    </row>
    <row r="140" spans="1:28" x14ac:dyDescent="0.35">
      <c r="A140" s="17"/>
      <c r="B140" s="6">
        <v>15</v>
      </c>
      <c r="C140" s="13">
        <v>8.86</v>
      </c>
      <c r="D140" s="13">
        <v>9.07</v>
      </c>
      <c r="E140" s="13">
        <v>8.4600000000000009</v>
      </c>
      <c r="F140" s="13">
        <v>8.51</v>
      </c>
      <c r="G140" s="17"/>
      <c r="H140" s="6">
        <v>15</v>
      </c>
      <c r="I140" s="13">
        <v>11.13</v>
      </c>
      <c r="J140" s="13">
        <v>11.27</v>
      </c>
      <c r="K140" s="13">
        <v>11.9</v>
      </c>
      <c r="L140" s="13">
        <v>11.11</v>
      </c>
      <c r="M140" s="21"/>
      <c r="N140" s="20">
        <v>15</v>
      </c>
      <c r="O140" s="13">
        <f t="shared" si="71"/>
        <v>88.87</v>
      </c>
      <c r="P140" s="13">
        <f t="shared" si="68"/>
        <v>88.73</v>
      </c>
      <c r="Q140" s="13">
        <f t="shared" si="69"/>
        <v>88.1</v>
      </c>
      <c r="R140" s="13">
        <f t="shared" si="70"/>
        <v>88.89</v>
      </c>
      <c r="S140" s="15">
        <f t="shared" si="72"/>
        <v>88.647500000000008</v>
      </c>
      <c r="T140" s="17"/>
      <c r="U140" s="6">
        <v>15</v>
      </c>
      <c r="V140" s="13">
        <f t="shared" si="73"/>
        <v>7.0645653890324418</v>
      </c>
      <c r="W140" s="13">
        <f t="shared" si="74"/>
        <v>7.0534363336204411</v>
      </c>
      <c r="X140" s="13">
        <f t="shared" si="75"/>
        <v>7.0645653890324418</v>
      </c>
      <c r="Y140" s="13">
        <f t="shared" si="76"/>
        <v>7.0661552540912993</v>
      </c>
      <c r="Z140" s="15">
        <f t="shared" si="77"/>
        <v>7.0621805914441556</v>
      </c>
      <c r="AA140" s="9"/>
      <c r="AB140" s="9"/>
    </row>
    <row r="141" spans="1:28" x14ac:dyDescent="0.35">
      <c r="A141" s="17"/>
      <c r="B141" s="17"/>
      <c r="C141" s="22"/>
      <c r="D141" s="27"/>
      <c r="E141" s="22"/>
      <c r="F141" s="22"/>
      <c r="G141" s="6"/>
      <c r="H141" s="6"/>
      <c r="I141" s="6"/>
      <c r="J141" s="6"/>
      <c r="K141" s="6"/>
      <c r="L141" s="18"/>
      <c r="M141" s="21"/>
      <c r="N141" s="21"/>
      <c r="O141" s="22"/>
      <c r="P141" s="27"/>
      <c r="Q141" s="22"/>
      <c r="R141" s="22"/>
      <c r="S141" s="9"/>
      <c r="T141" s="17"/>
      <c r="U141" s="17"/>
      <c r="V141" s="22"/>
      <c r="W141" s="27"/>
      <c r="X141" s="22"/>
      <c r="Y141" s="22"/>
      <c r="Z141" s="9"/>
      <c r="AA141" s="9"/>
      <c r="AB141" s="9"/>
    </row>
    <row r="142" spans="1:28" x14ac:dyDescent="0.35">
      <c r="A142" s="17"/>
      <c r="B142" s="17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21"/>
      <c r="N142" s="21"/>
      <c r="O142" s="11"/>
      <c r="P142" s="11"/>
      <c r="Q142" s="11"/>
      <c r="R142" s="11"/>
      <c r="S142" s="9"/>
      <c r="T142" s="17"/>
      <c r="U142" s="17"/>
      <c r="V142" s="11"/>
      <c r="W142" s="11"/>
      <c r="X142" s="11"/>
      <c r="Y142" s="11"/>
      <c r="Z142" s="9"/>
      <c r="AA142" s="9"/>
      <c r="AB142" s="9"/>
    </row>
    <row r="143" spans="1:28" x14ac:dyDescent="0.35">
      <c r="A143" s="17"/>
      <c r="B143" s="11"/>
      <c r="C143" s="13"/>
      <c r="D143" s="13"/>
      <c r="E143" s="13"/>
      <c r="F143" s="13"/>
      <c r="G143" s="13"/>
      <c r="H143" s="13"/>
      <c r="I143" s="13"/>
      <c r="J143" s="13"/>
      <c r="K143" s="13"/>
      <c r="L143" s="14"/>
      <c r="M143" s="21"/>
      <c r="N143" s="11"/>
      <c r="O143" s="13"/>
      <c r="P143" s="13"/>
      <c r="Q143" s="13"/>
      <c r="R143" s="13"/>
      <c r="S143" s="9"/>
      <c r="T143" s="17"/>
      <c r="U143" s="11"/>
      <c r="V143" s="13"/>
      <c r="W143" s="13"/>
      <c r="X143" s="13"/>
      <c r="Y143" s="13"/>
      <c r="Z143" s="9"/>
      <c r="AA143" s="9"/>
      <c r="AB143" s="9"/>
    </row>
    <row r="144" spans="1:28" x14ac:dyDescent="0.35">
      <c r="A144" s="17"/>
      <c r="B144" s="11"/>
      <c r="C144" s="13"/>
      <c r="D144" s="13"/>
      <c r="E144" s="13"/>
      <c r="F144" s="13"/>
      <c r="G144" s="13"/>
      <c r="H144" s="13"/>
      <c r="I144" s="13"/>
      <c r="J144" s="13"/>
      <c r="K144" s="13"/>
      <c r="L144" s="14"/>
      <c r="M144" s="21"/>
      <c r="N144" s="11"/>
      <c r="O144" s="13"/>
      <c r="P144" s="13"/>
      <c r="Q144" s="13"/>
      <c r="R144" s="13"/>
      <c r="S144" s="9"/>
      <c r="T144" s="17"/>
      <c r="U144" s="11"/>
      <c r="V144" s="13"/>
      <c r="W144" s="13"/>
      <c r="X144" s="13"/>
      <c r="Y144" s="13"/>
      <c r="Z144" s="9"/>
      <c r="AA144" s="9"/>
      <c r="AB144" s="9"/>
    </row>
    <row r="145" spans="1:28" x14ac:dyDescent="0.35">
      <c r="A145" s="17"/>
      <c r="B145" s="11"/>
      <c r="C145" s="13"/>
      <c r="D145" s="13"/>
      <c r="E145" s="13"/>
      <c r="F145" s="13"/>
      <c r="G145" s="13"/>
      <c r="H145" s="13"/>
      <c r="I145" s="13"/>
      <c r="J145" s="13"/>
      <c r="K145" s="13"/>
      <c r="L145" s="14"/>
      <c r="M145" s="21"/>
      <c r="N145" s="11"/>
      <c r="O145" s="13"/>
      <c r="P145" s="13"/>
      <c r="Q145" s="13"/>
      <c r="R145" s="13"/>
      <c r="S145" s="9"/>
      <c r="T145" s="17"/>
      <c r="U145" s="11"/>
      <c r="V145" s="13"/>
      <c r="W145" s="13"/>
      <c r="X145" s="13"/>
      <c r="Y145" s="13"/>
      <c r="Z145" s="9"/>
      <c r="AA145" s="9"/>
      <c r="AB145" s="9"/>
    </row>
    <row r="146" spans="1:28" x14ac:dyDescent="0.35">
      <c r="A146" s="17"/>
      <c r="B146" s="11"/>
      <c r="C146" s="13"/>
      <c r="D146" s="13"/>
      <c r="E146" s="13"/>
      <c r="F146" s="13"/>
      <c r="G146" s="13"/>
      <c r="H146" s="13"/>
      <c r="I146" s="13"/>
      <c r="J146" s="13"/>
      <c r="K146" s="13"/>
      <c r="L146" s="14"/>
      <c r="M146" s="21"/>
      <c r="N146" s="11"/>
      <c r="O146" s="13"/>
      <c r="P146" s="13"/>
      <c r="Q146" s="13"/>
      <c r="R146" s="13"/>
      <c r="S146" s="9"/>
      <c r="T146" s="17"/>
      <c r="U146" s="11"/>
      <c r="V146" s="13"/>
      <c r="W146" s="13"/>
      <c r="X146" s="13"/>
      <c r="Y146" s="13"/>
      <c r="Z146" s="9"/>
      <c r="AA146" s="9"/>
      <c r="AB146" s="9"/>
    </row>
    <row r="147" spans="1:28" x14ac:dyDescent="0.35">
      <c r="A147" s="17"/>
      <c r="B147" s="11"/>
      <c r="C147" s="13"/>
      <c r="D147" s="13"/>
      <c r="E147" s="13"/>
      <c r="F147" s="13"/>
      <c r="G147" s="13"/>
      <c r="H147" s="13"/>
      <c r="I147" s="13"/>
      <c r="J147" s="13"/>
      <c r="K147" s="13"/>
      <c r="L147" s="14"/>
      <c r="M147" s="21"/>
      <c r="N147" s="11"/>
      <c r="O147" s="13"/>
      <c r="P147" s="13"/>
      <c r="Q147" s="13"/>
      <c r="R147" s="13"/>
      <c r="S147" s="9"/>
      <c r="T147" s="17"/>
      <c r="U147" s="11"/>
      <c r="V147" s="13"/>
      <c r="W147" s="13"/>
      <c r="X147" s="13"/>
      <c r="Y147" s="13"/>
      <c r="Z147" s="9"/>
      <c r="AA147" s="9"/>
      <c r="AB147" s="9"/>
    </row>
    <row r="148" spans="1:28" x14ac:dyDescent="0.35">
      <c r="A148" s="17"/>
      <c r="B148" s="11"/>
      <c r="C148" s="13"/>
      <c r="D148" s="13"/>
      <c r="E148" s="13"/>
      <c r="F148" s="13"/>
      <c r="G148" s="13"/>
      <c r="H148" s="13"/>
      <c r="I148" s="13"/>
      <c r="J148" s="13"/>
      <c r="K148" s="13"/>
      <c r="L148" s="14"/>
      <c r="M148" s="21"/>
      <c r="N148" s="11"/>
      <c r="O148" s="13"/>
      <c r="P148" s="13"/>
      <c r="Q148" s="13"/>
      <c r="R148" s="13"/>
      <c r="S148" s="9"/>
      <c r="T148" s="17"/>
      <c r="U148" s="11"/>
      <c r="V148" s="13"/>
      <c r="W148" s="13"/>
      <c r="X148" s="13"/>
      <c r="Y148" s="13"/>
      <c r="Z148" s="9"/>
      <c r="AA148" s="9"/>
      <c r="AB148" s="9"/>
    </row>
    <row r="149" spans="1:28" x14ac:dyDescent="0.35">
      <c r="A149" s="17"/>
      <c r="B149" s="11"/>
      <c r="C149" s="13"/>
      <c r="D149" s="13"/>
      <c r="E149" s="13"/>
      <c r="F149" s="13"/>
      <c r="G149" s="13"/>
      <c r="H149" s="13"/>
      <c r="I149" s="13"/>
      <c r="J149" s="13"/>
      <c r="K149" s="13"/>
      <c r="L149" s="14"/>
      <c r="M149" s="21"/>
      <c r="N149" s="11"/>
      <c r="O149" s="13"/>
      <c r="P149" s="13"/>
      <c r="Q149" s="13"/>
      <c r="R149" s="13"/>
      <c r="S149" s="9"/>
      <c r="T149" s="17"/>
      <c r="U149" s="11"/>
      <c r="V149" s="13"/>
      <c r="W149" s="13"/>
      <c r="X149" s="13"/>
      <c r="Y149" s="13"/>
      <c r="Z149" s="9"/>
      <c r="AA149" s="9"/>
      <c r="AB149" s="9"/>
    </row>
    <row r="150" spans="1:28" x14ac:dyDescent="0.35">
      <c r="A150" s="17"/>
      <c r="B150" s="11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M150" s="21"/>
      <c r="N150" s="11"/>
      <c r="O150" s="13"/>
      <c r="P150" s="13"/>
      <c r="Q150" s="13"/>
      <c r="R150" s="13"/>
      <c r="S150" s="9"/>
      <c r="T150" s="17"/>
      <c r="U150" s="11"/>
      <c r="V150" s="13"/>
      <c r="W150" s="13"/>
      <c r="X150" s="13"/>
      <c r="Y150" s="13"/>
      <c r="Z150" s="9"/>
      <c r="AA150" s="9"/>
      <c r="AB150" s="9"/>
    </row>
    <row r="151" spans="1:28" x14ac:dyDescent="0.35">
      <c r="A151" s="17"/>
      <c r="B151" s="17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21"/>
      <c r="N151" s="21"/>
      <c r="O151" s="18"/>
      <c r="P151" s="18"/>
      <c r="Q151" s="18"/>
      <c r="R151" s="18"/>
      <c r="S151" s="9"/>
      <c r="T151" s="17"/>
      <c r="U151" s="17"/>
      <c r="V151" s="18"/>
      <c r="W151" s="18"/>
      <c r="X151" s="18"/>
      <c r="Y151" s="18"/>
      <c r="Z151" s="9"/>
      <c r="AA151" s="9"/>
      <c r="AB151" s="9"/>
    </row>
    <row r="152" spans="1:28" x14ac:dyDescent="0.35">
      <c r="A152" s="17"/>
      <c r="B152" s="17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21"/>
      <c r="N152" s="21"/>
      <c r="O152" s="18"/>
      <c r="P152" s="18"/>
      <c r="Q152" s="18"/>
      <c r="R152" s="18"/>
      <c r="S152" s="9"/>
      <c r="T152" s="17"/>
      <c r="U152" s="17"/>
      <c r="V152" s="18"/>
      <c r="W152" s="18"/>
      <c r="X152" s="18"/>
      <c r="Y152" s="18"/>
      <c r="Z152" s="9"/>
      <c r="AA152" s="9"/>
      <c r="AB152" s="9"/>
    </row>
    <row r="153" spans="1:28" x14ac:dyDescent="0.35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2"/>
      <c r="N153" s="2"/>
      <c r="O153" s="3"/>
      <c r="P153" s="3"/>
      <c r="Q153" s="3"/>
      <c r="R153" s="3"/>
      <c r="T153" s="2"/>
      <c r="U153" s="2"/>
      <c r="V153" s="3"/>
      <c r="W153" s="3"/>
      <c r="X153" s="3"/>
      <c r="Y153" s="3"/>
    </row>
    <row r="154" spans="1:28" x14ac:dyDescent="0.35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2"/>
      <c r="N154" s="2"/>
      <c r="O154" s="3"/>
      <c r="P154" s="3"/>
      <c r="Q154" s="3"/>
      <c r="R154" s="3"/>
      <c r="T154" s="2"/>
      <c r="U154" s="2"/>
      <c r="V154" s="3"/>
      <c r="W154" s="3"/>
      <c r="X154" s="3"/>
      <c r="Y154" s="3"/>
    </row>
    <row r="155" spans="1:28" x14ac:dyDescent="0.35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2"/>
      <c r="N155" s="2"/>
      <c r="O155" s="3"/>
      <c r="P155" s="3"/>
      <c r="Q155" s="3"/>
      <c r="R155" s="3"/>
      <c r="T155" s="2"/>
      <c r="U155" s="2"/>
      <c r="V155" s="3"/>
      <c r="W155" s="3"/>
      <c r="X155" s="3"/>
      <c r="Y155" s="3"/>
    </row>
    <row r="156" spans="1:28" x14ac:dyDescent="0.35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2"/>
      <c r="N156" s="2"/>
      <c r="O156" s="3"/>
      <c r="P156" s="3"/>
      <c r="Q156" s="3"/>
      <c r="R156" s="3"/>
      <c r="T156" s="2"/>
      <c r="U156" s="2"/>
      <c r="V156" s="3"/>
      <c r="W156" s="3"/>
      <c r="X156" s="3"/>
      <c r="Y156" s="3"/>
    </row>
    <row r="157" spans="1:28" x14ac:dyDescent="0.35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2"/>
      <c r="N157" s="2"/>
      <c r="O157" s="3"/>
      <c r="P157" s="3"/>
      <c r="Q157" s="3"/>
      <c r="R157" s="3"/>
      <c r="T157" s="2"/>
      <c r="U157" s="2"/>
      <c r="V157" s="3"/>
      <c r="W157" s="3"/>
      <c r="X157" s="3"/>
      <c r="Y157" s="3"/>
    </row>
    <row r="158" spans="1:28" x14ac:dyDescent="0.35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2"/>
      <c r="N158" s="2"/>
      <c r="O158" s="3"/>
      <c r="P158" s="3"/>
      <c r="Q158" s="3"/>
      <c r="R158" s="3"/>
      <c r="T158" s="2"/>
      <c r="U158" s="2"/>
      <c r="V158" s="3"/>
      <c r="W158" s="3"/>
      <c r="X158" s="3"/>
      <c r="Y158" s="3"/>
    </row>
    <row r="159" spans="1:28" x14ac:dyDescent="0.35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2"/>
      <c r="N159" s="2"/>
      <c r="O159" s="3"/>
      <c r="P159" s="3"/>
      <c r="Q159" s="3"/>
      <c r="R159" s="3"/>
      <c r="T159" s="2"/>
      <c r="U159" s="2"/>
      <c r="V159" s="3"/>
      <c r="W159" s="3"/>
      <c r="X159" s="3"/>
      <c r="Y159" s="3"/>
    </row>
    <row r="160" spans="1:28" x14ac:dyDescent="0.35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2"/>
      <c r="N160" s="2"/>
      <c r="O160" s="3"/>
      <c r="P160" s="3"/>
      <c r="Q160" s="3"/>
      <c r="R160" s="3"/>
      <c r="T160" s="2"/>
      <c r="U160" s="2"/>
      <c r="V160" s="3"/>
      <c r="W160" s="3"/>
      <c r="X160" s="3"/>
      <c r="Y160" s="3"/>
    </row>
  </sheetData>
  <mergeCells count="8">
    <mergeCell ref="F1:G1"/>
    <mergeCell ref="C4:F4"/>
    <mergeCell ref="V4:Y4"/>
    <mergeCell ref="C141:F141"/>
    <mergeCell ref="V141:Y141"/>
    <mergeCell ref="I4:L4"/>
    <mergeCell ref="O4:R4"/>
    <mergeCell ref="O141:R14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feldolgozás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Malovics Gabriella</dc:creator>
  <cp:lastModifiedBy>Nándor Fodor</cp:lastModifiedBy>
  <dcterms:created xsi:type="dcterms:W3CDTF">2017-07-07T07:17:15Z</dcterms:created>
  <dcterms:modified xsi:type="dcterms:W3CDTF">2025-11-06T08:40:36Z</dcterms:modified>
</cp:coreProperties>
</file>